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Google Drive\OZU\Image_Depth_Research\Disparity Comp Proj\GitLab Files\doc\My_papers\1080p Power Results Updated\"/>
    </mc:Choice>
  </mc:AlternateContent>
  <xr:revisionPtr revIDLastSave="0" documentId="13_ncr:1_{53EAD442-69AF-4686-9B4A-1A1EC5C9B193}" xr6:coauthVersionLast="47" xr6:coauthVersionMax="47" xr10:uidLastSave="{00000000-0000-0000-0000-000000000000}"/>
  <bookViews>
    <workbookView xWindow="-108" yWindow="-108" windowWidth="23256" windowHeight="12576" xr2:uid="{B42FEEC3-ABA5-41A0-992D-E6F755CAB8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H7" i="1"/>
  <c r="I6" i="1"/>
  <c r="H6" i="1"/>
  <c r="I3" i="1"/>
  <c r="I4" i="1"/>
  <c r="I5" i="1"/>
  <c r="I2" i="1"/>
  <c r="H2" i="1"/>
  <c r="H3" i="1"/>
  <c r="H4" i="1"/>
  <c r="H5" i="1"/>
</calcChain>
</file>

<file path=xl/sharedStrings.xml><?xml version="1.0" encoding="utf-8"?>
<sst xmlns="http://schemas.openxmlformats.org/spreadsheetml/2006/main" count="19" uniqueCount="18">
  <si>
    <t>MF + SN</t>
  </si>
  <si>
    <t>SN</t>
  </si>
  <si>
    <t>MF + MN</t>
  </si>
  <si>
    <t>MN</t>
  </si>
  <si>
    <t>DDR4 POWER</t>
  </si>
  <si>
    <t>Bit Savings Ratio</t>
  </si>
  <si>
    <t>Saved Power (mw) with DDR4</t>
  </si>
  <si>
    <t>DDR3 Power</t>
  </si>
  <si>
    <t>Saved Power (mw) with DDR3</t>
  </si>
  <si>
    <t>Encoder Core Power</t>
  </si>
  <si>
    <t xml:space="preserve">Decoder Core Power </t>
  </si>
  <si>
    <t>Design Type ( F = 125 MHz)</t>
  </si>
  <si>
    <t>I/O Power ( Encoder, Decoder)</t>
  </si>
  <si>
    <t>8, 1</t>
  </si>
  <si>
    <t>8,1</t>
  </si>
  <si>
    <t>9,1</t>
  </si>
  <si>
    <t>AVERAGE With MF</t>
  </si>
  <si>
    <t>AVERAGE w/o 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</si>
</sst>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Fill="1"/>
    <xf numFmtId="2" fontId="2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DF79-ADD9-4C76-B38D-7535156BE67D}">
  <dimension ref="A1:I13"/>
  <sheetViews>
    <sheetView tabSelected="1" topLeftCell="C1" workbookViewId="0">
      <selection activeCell="H11" sqref="H11"/>
    </sheetView>
  </sheetViews>
  <sheetFormatPr defaultRowHeight="14.4" x14ac:dyDescent="0.3"/>
  <cols>
    <col min="1" max="1" width="22" style="1" customWidth="1"/>
    <col min="2" max="2" width="27.88671875" style="1" customWidth="1"/>
    <col min="3" max="3" width="29.21875" style="1" customWidth="1"/>
    <col min="4" max="4" width="28.88671875" style="1" customWidth="1"/>
    <col min="5" max="6" width="24.21875" style="1" customWidth="1"/>
    <col min="7" max="7" width="22.21875" style="1" customWidth="1"/>
    <col min="8" max="8" width="41.88671875" style="1" customWidth="1"/>
    <col min="9" max="9" width="28.5546875" style="1" customWidth="1"/>
    <col min="10" max="16384" width="8.88671875" style="1"/>
  </cols>
  <sheetData>
    <row r="1" spans="1:9" x14ac:dyDescent="0.3">
      <c r="A1" s="1" t="s">
        <v>11</v>
      </c>
      <c r="B1" s="1" t="s">
        <v>12</v>
      </c>
      <c r="C1" s="1" t="s">
        <v>9</v>
      </c>
      <c r="D1" s="1" t="s">
        <v>10</v>
      </c>
      <c r="E1" s="1" t="s">
        <v>5</v>
      </c>
      <c r="F1" s="1" t="s">
        <v>7</v>
      </c>
      <c r="G1" s="1" t="s">
        <v>4</v>
      </c>
      <c r="H1" s="1" t="s">
        <v>6</v>
      </c>
      <c r="I1" s="1" t="s">
        <v>8</v>
      </c>
    </row>
    <row r="2" spans="1:9" x14ac:dyDescent="0.3">
      <c r="A2" s="1" t="s">
        <v>0</v>
      </c>
      <c r="B2" s="1" t="s">
        <v>13</v>
      </c>
      <c r="C2" s="1">
        <v>25</v>
      </c>
      <c r="D2" s="1">
        <v>6</v>
      </c>
      <c r="E2" s="2">
        <v>47.52</v>
      </c>
      <c r="F2" s="1">
        <v>127</v>
      </c>
      <c r="G2" s="1">
        <v>102</v>
      </c>
      <c r="H2" s="1">
        <f>G2-(G2*(100-E2)/100 + C2+ D2)</f>
        <v>17.470399999999998</v>
      </c>
      <c r="I2" s="1">
        <f>F2-(F2*(100-E2)/100 + C2+ D2)</f>
        <v>29.350399999999993</v>
      </c>
    </row>
    <row r="3" spans="1:9" x14ac:dyDescent="0.3">
      <c r="A3" s="1" t="s">
        <v>2</v>
      </c>
      <c r="B3" s="1" t="s">
        <v>14</v>
      </c>
      <c r="C3" s="1">
        <v>27</v>
      </c>
      <c r="D3" s="1">
        <v>8</v>
      </c>
      <c r="E3" s="2">
        <v>56.07</v>
      </c>
      <c r="F3" s="1">
        <v>127</v>
      </c>
      <c r="G3" s="1">
        <v>102</v>
      </c>
      <c r="H3" s="1">
        <f t="shared" ref="H3:H5" si="0">G3-(G3*(100-E3)/100 + C3+ D3)</f>
        <v>22.191400000000002</v>
      </c>
      <c r="I3" s="1">
        <f t="shared" ref="I3:I5" si="1">F3-(F3*(100-E3)/100 + C3+ D3)</f>
        <v>36.2089</v>
      </c>
    </row>
    <row r="4" spans="1:9" x14ac:dyDescent="0.3">
      <c r="A4" s="1" t="s">
        <v>1</v>
      </c>
      <c r="B4" s="1" t="s">
        <v>14</v>
      </c>
      <c r="C4" s="1">
        <v>15</v>
      </c>
      <c r="D4" s="1">
        <v>6</v>
      </c>
      <c r="E4" s="2">
        <v>37.81</v>
      </c>
      <c r="F4" s="1">
        <v>127</v>
      </c>
      <c r="G4" s="1">
        <v>102</v>
      </c>
      <c r="H4" s="1">
        <f t="shared" si="0"/>
        <v>17.566200000000009</v>
      </c>
      <c r="I4" s="1">
        <f t="shared" si="1"/>
        <v>27.018699999999995</v>
      </c>
    </row>
    <row r="5" spans="1:9" x14ac:dyDescent="0.3">
      <c r="A5" s="1" t="s">
        <v>3</v>
      </c>
      <c r="B5" s="1" t="s">
        <v>15</v>
      </c>
      <c r="C5" s="1">
        <v>21</v>
      </c>
      <c r="D5" s="1">
        <v>8</v>
      </c>
      <c r="E5" s="2">
        <v>45.52</v>
      </c>
      <c r="F5" s="1">
        <v>127</v>
      </c>
      <c r="G5" s="1">
        <v>102</v>
      </c>
      <c r="H5" s="1">
        <f t="shared" si="0"/>
        <v>17.430399999999992</v>
      </c>
      <c r="I5" s="1">
        <f t="shared" si="1"/>
        <v>28.810400000000001</v>
      </c>
    </row>
    <row r="6" spans="1:9" x14ac:dyDescent="0.3">
      <c r="G6" s="3" t="s">
        <v>16</v>
      </c>
      <c r="H6" s="4">
        <f>AVERAGE(H2:H3)</f>
        <v>19.8309</v>
      </c>
      <c r="I6" s="4">
        <f>AVERAGE(I2:I3)</f>
        <v>32.779649999999997</v>
      </c>
    </row>
    <row r="7" spans="1:9" x14ac:dyDescent="0.3">
      <c r="G7" s="3" t="s">
        <v>17</v>
      </c>
      <c r="H7" s="4">
        <f>AVERAGE(H4:H5)</f>
        <v>17.4983</v>
      </c>
      <c r="I7" s="4">
        <f>AVERAGE(I4:I5)</f>
        <v>27.914549999999998</v>
      </c>
    </row>
    <row r="10" spans="1:9" x14ac:dyDescent="0.3">
      <c r="E10" s="2"/>
    </row>
    <row r="11" spans="1:9" x14ac:dyDescent="0.3">
      <c r="E11" s="2"/>
    </row>
    <row r="12" spans="1:9" x14ac:dyDescent="0.3">
      <c r="E12" s="2"/>
    </row>
    <row r="13" spans="1:9" x14ac:dyDescent="0.3"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</dc:creator>
  <cp:lastModifiedBy>Mustafa</cp:lastModifiedBy>
  <dcterms:created xsi:type="dcterms:W3CDTF">2021-04-20T08:58:10Z</dcterms:created>
  <dcterms:modified xsi:type="dcterms:W3CDTF">2021-06-24T21:01:50Z</dcterms:modified>
</cp:coreProperties>
</file>