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My Google Drive\OZU\Image_Depth_Research\Disparity Comp Proj\Updated Results and Codes\"/>
    </mc:Choice>
  </mc:AlternateContent>
  <xr:revisionPtr revIDLastSave="0" documentId="13_ncr:1_{66F2E4E0-239A-4AB0-8971-A1EA1650C31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N for 8-bit DMs" sheetId="13" r:id="rId1"/>
    <sheet name="MN for 8-bit DMs" sheetId="14" r:id="rId2"/>
    <sheet name="GT_results_v1" sheetId="16" r:id="rId3"/>
    <sheet name="JPEG LS" sheetId="5" r:id="rId4"/>
    <sheet name="JPEG-LS MPO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2" i="14" l="1"/>
  <c r="G62" i="14"/>
  <c r="F62" i="14"/>
  <c r="E62" i="14"/>
  <c r="D62" i="14"/>
  <c r="C62" i="14"/>
  <c r="D62" i="13"/>
  <c r="E62" i="13"/>
  <c r="F62" i="13"/>
  <c r="G62" i="13"/>
  <c r="H62" i="13"/>
  <c r="C62" i="13"/>
  <c r="F60" i="13"/>
  <c r="G66" i="13"/>
  <c r="G67" i="13"/>
  <c r="G68" i="13"/>
  <c r="G69" i="13"/>
  <c r="G70" i="13"/>
  <c r="G71" i="13"/>
  <c r="G72" i="13"/>
  <c r="G73" i="13"/>
  <c r="G74" i="13"/>
  <c r="G75" i="13"/>
  <c r="E66" i="13"/>
  <c r="E67" i="13"/>
  <c r="E68" i="13"/>
  <c r="E69" i="13"/>
  <c r="E70" i="13"/>
  <c r="E71" i="13"/>
  <c r="E72" i="13"/>
  <c r="E73" i="13"/>
  <c r="E74" i="13"/>
  <c r="E75" i="13"/>
  <c r="G78" i="14"/>
  <c r="F78" i="14"/>
  <c r="E78" i="14"/>
  <c r="D78" i="14"/>
  <c r="C78" i="14"/>
  <c r="B78" i="14"/>
  <c r="G75" i="14"/>
  <c r="F75" i="14"/>
  <c r="E75" i="14"/>
  <c r="D75" i="14"/>
  <c r="C75" i="14"/>
  <c r="B75" i="14"/>
  <c r="G74" i="14"/>
  <c r="F74" i="14"/>
  <c r="E74" i="14"/>
  <c r="D74" i="14"/>
  <c r="C74" i="14"/>
  <c r="B74" i="14"/>
  <c r="G73" i="14"/>
  <c r="F73" i="14"/>
  <c r="E73" i="14"/>
  <c r="D73" i="14"/>
  <c r="C73" i="14"/>
  <c r="B73" i="14"/>
  <c r="G72" i="14"/>
  <c r="F72" i="14"/>
  <c r="E72" i="14"/>
  <c r="D72" i="14"/>
  <c r="C72" i="14"/>
  <c r="B72" i="14"/>
  <c r="G71" i="14"/>
  <c r="F71" i="14"/>
  <c r="E71" i="14"/>
  <c r="D71" i="14"/>
  <c r="C71" i="14"/>
  <c r="B71" i="14"/>
  <c r="G70" i="14"/>
  <c r="F70" i="14"/>
  <c r="E70" i="14"/>
  <c r="D70" i="14"/>
  <c r="C70" i="14"/>
  <c r="B70" i="14"/>
  <c r="G69" i="14"/>
  <c r="F69" i="14"/>
  <c r="E69" i="14"/>
  <c r="D69" i="14"/>
  <c r="C69" i="14"/>
  <c r="B69" i="14"/>
  <c r="G68" i="14"/>
  <c r="F68" i="14"/>
  <c r="E68" i="14"/>
  <c r="D68" i="14"/>
  <c r="C68" i="14"/>
  <c r="B68" i="14"/>
  <c r="G67" i="14"/>
  <c r="F67" i="14"/>
  <c r="E67" i="14"/>
  <c r="D67" i="14"/>
  <c r="C67" i="14"/>
  <c r="B67" i="14"/>
  <c r="G66" i="14"/>
  <c r="F66" i="14"/>
  <c r="E66" i="14"/>
  <c r="D66" i="14"/>
  <c r="C66" i="14"/>
  <c r="B66" i="14"/>
  <c r="H60" i="14"/>
  <c r="G60" i="14"/>
  <c r="F60" i="14"/>
  <c r="E60" i="14"/>
  <c r="D60" i="14"/>
  <c r="C60" i="14"/>
  <c r="H48" i="14"/>
  <c r="G48" i="14"/>
  <c r="F48" i="14"/>
  <c r="E48" i="14"/>
  <c r="D48" i="14"/>
  <c r="C48" i="14"/>
  <c r="H47" i="14"/>
  <c r="G47" i="14"/>
  <c r="F47" i="14"/>
  <c r="E47" i="14"/>
  <c r="D47" i="14"/>
  <c r="C47" i="14"/>
  <c r="H46" i="14"/>
  <c r="G46" i="14"/>
  <c r="F46" i="14"/>
  <c r="E46" i="14"/>
  <c r="D46" i="14"/>
  <c r="C46" i="14"/>
  <c r="H24" i="14"/>
  <c r="G24" i="14"/>
  <c r="F24" i="14"/>
  <c r="E24" i="14"/>
  <c r="D24" i="14"/>
  <c r="C24" i="14"/>
  <c r="H23" i="14"/>
  <c r="G23" i="14"/>
  <c r="F23" i="14"/>
  <c r="E23" i="14"/>
  <c r="D23" i="14"/>
  <c r="C23" i="14"/>
  <c r="H22" i="14"/>
  <c r="G22" i="14"/>
  <c r="F22" i="14"/>
  <c r="E22" i="14"/>
  <c r="D22" i="14"/>
  <c r="C22" i="14"/>
  <c r="C78" i="13"/>
  <c r="D78" i="13"/>
  <c r="E78" i="13"/>
  <c r="F78" i="13"/>
  <c r="G78" i="13"/>
  <c r="B78" i="13"/>
  <c r="C75" i="13"/>
  <c r="D75" i="13"/>
  <c r="F75" i="13"/>
  <c r="C74" i="13"/>
  <c r="D74" i="13"/>
  <c r="F74" i="13"/>
  <c r="C73" i="13"/>
  <c r="D73" i="13"/>
  <c r="F73" i="13"/>
  <c r="C72" i="13"/>
  <c r="D72" i="13"/>
  <c r="F72" i="13"/>
  <c r="C71" i="13"/>
  <c r="D71" i="13"/>
  <c r="F71" i="13"/>
  <c r="C70" i="13"/>
  <c r="D70" i="13"/>
  <c r="F70" i="13"/>
  <c r="C69" i="13"/>
  <c r="D69" i="13"/>
  <c r="F69" i="13"/>
  <c r="C68" i="13"/>
  <c r="D68" i="13"/>
  <c r="F68" i="13"/>
  <c r="C67" i="13"/>
  <c r="D67" i="13"/>
  <c r="F67" i="13"/>
  <c r="C66" i="13"/>
  <c r="D66" i="13"/>
  <c r="F66" i="13"/>
  <c r="B75" i="13"/>
  <c r="B74" i="13"/>
  <c r="B73" i="13"/>
  <c r="B72" i="13"/>
  <c r="B71" i="13"/>
  <c r="B70" i="13"/>
  <c r="B69" i="13"/>
  <c r="B68" i="13"/>
  <c r="B67" i="13"/>
  <c r="B66" i="13"/>
  <c r="D60" i="13"/>
  <c r="E60" i="13"/>
  <c r="G60" i="13"/>
  <c r="H60" i="13"/>
  <c r="C60" i="13"/>
  <c r="H48" i="13"/>
  <c r="G48" i="13"/>
  <c r="F48" i="13"/>
  <c r="E48" i="13"/>
  <c r="H47" i="13"/>
  <c r="G47" i="13"/>
  <c r="F47" i="13"/>
  <c r="E47" i="13"/>
  <c r="H46" i="13"/>
  <c r="G46" i="13"/>
  <c r="F46" i="13"/>
  <c r="E46" i="13"/>
  <c r="D48" i="13"/>
  <c r="C48" i="13"/>
  <c r="D47" i="13"/>
  <c r="C47" i="13"/>
  <c r="D46" i="13"/>
  <c r="C46" i="13"/>
  <c r="G24" i="13"/>
  <c r="H24" i="13"/>
  <c r="G23" i="13"/>
  <c r="H23" i="13"/>
  <c r="G22" i="13"/>
  <c r="H22" i="13"/>
  <c r="F24" i="13"/>
  <c r="F23" i="13"/>
  <c r="F22" i="13"/>
  <c r="E24" i="13"/>
  <c r="E23" i="13"/>
  <c r="E22" i="13"/>
  <c r="D24" i="13"/>
  <c r="C24" i="13"/>
  <c r="D23" i="13"/>
  <c r="C23" i="13"/>
  <c r="D22" i="13"/>
  <c r="C22" i="13"/>
  <c r="D186" i="10"/>
  <c r="C186" i="10"/>
  <c r="C183" i="10"/>
  <c r="D172" i="10"/>
  <c r="C172" i="10"/>
  <c r="D171" i="10"/>
  <c r="C171" i="10"/>
  <c r="D170" i="10"/>
  <c r="C170" i="10"/>
  <c r="D148" i="10"/>
  <c r="C148" i="10"/>
  <c r="D147" i="10"/>
  <c r="C147" i="10"/>
  <c r="D146" i="10"/>
  <c r="C146" i="10"/>
  <c r="D124" i="10"/>
  <c r="C124" i="10"/>
  <c r="D121" i="10"/>
  <c r="C121" i="10"/>
  <c r="D110" i="10"/>
  <c r="C110" i="10"/>
  <c r="D109" i="10"/>
  <c r="C109" i="10"/>
  <c r="D108" i="10"/>
  <c r="C108" i="10"/>
  <c r="D86" i="10"/>
  <c r="C86" i="10"/>
  <c r="D85" i="10"/>
  <c r="C85" i="10"/>
  <c r="D84" i="10"/>
  <c r="C84" i="10"/>
  <c r="D62" i="5"/>
  <c r="C62" i="5"/>
  <c r="D62" i="10"/>
  <c r="C62" i="10"/>
  <c r="D48" i="5"/>
  <c r="C48" i="5"/>
  <c r="D47" i="5"/>
  <c r="C47" i="5"/>
  <c r="D24" i="5"/>
  <c r="C24" i="5"/>
  <c r="D23" i="5"/>
  <c r="C23" i="5"/>
  <c r="D48" i="10"/>
  <c r="C48" i="10"/>
  <c r="D47" i="10"/>
  <c r="C47" i="10"/>
  <c r="D24" i="10"/>
  <c r="C24" i="10"/>
  <c r="D23" i="10"/>
  <c r="C23" i="10"/>
  <c r="D59" i="10"/>
  <c r="C59" i="10"/>
  <c r="D46" i="10"/>
  <c r="C46" i="10"/>
  <c r="D22" i="10"/>
  <c r="C22" i="10"/>
  <c r="F74" i="5"/>
  <c r="G74" i="5"/>
  <c r="E74" i="5"/>
  <c r="D74" i="5"/>
  <c r="C74" i="5"/>
  <c r="C59" i="5"/>
  <c r="C46" i="5"/>
  <c r="D59" i="5"/>
  <c r="D46" i="5"/>
  <c r="D22" i="5"/>
  <c r="C22" i="5"/>
</calcChain>
</file>

<file path=xl/sharedStrings.xml><?xml version="1.0" encoding="utf-8"?>
<sst xmlns="http://schemas.openxmlformats.org/spreadsheetml/2006/main" count="657" uniqueCount="56">
  <si>
    <t>Adirondack-perfect ( 280)</t>
  </si>
  <si>
    <t>Jadeplant-perfect (640)</t>
  </si>
  <si>
    <t>Motorcycle-perfect (270)</t>
  </si>
  <si>
    <t>Piano-perfect (260)</t>
  </si>
  <si>
    <t>Pipes-perfect (300)</t>
  </si>
  <si>
    <t>Playroom-perfect (330)</t>
  </si>
  <si>
    <t>Playtable-perfect (290)</t>
  </si>
  <si>
    <t>Recycle-perfect (260)</t>
  </si>
  <si>
    <t>Shelves-perfect (240)</t>
  </si>
  <si>
    <t>Vintage-perfect (740)</t>
  </si>
  <si>
    <t>Rank ( 7 x 7 ) Search Block ( 5 x 5)</t>
  </si>
  <si>
    <t>Image Name</t>
  </si>
  <si>
    <t>Rank ( 7 x 7 ) Search Block ( 7 x 7)</t>
  </si>
  <si>
    <t>Disparity Estimation Method</t>
  </si>
  <si>
    <t>CRT ( 7 x 7 ) Search Block ( 5 x 5)</t>
  </si>
  <si>
    <t>CRT ( 7 x 7 ) Search Block ( 7 x 7)</t>
  </si>
  <si>
    <t>Census  ( 7 x 7 ) Search Block ( 1 x 1)</t>
  </si>
  <si>
    <t>Ground Truth Images</t>
  </si>
  <si>
    <t>Full Integer Case</t>
  </si>
  <si>
    <t>1-digit after decimal point- case</t>
  </si>
  <si>
    <t>2-digit after decimal point- case</t>
  </si>
  <si>
    <t>3-digit after decimal point- case</t>
  </si>
  <si>
    <t>4-digit after decimal point- case</t>
  </si>
  <si>
    <t>Space Savings  for 8-bit DMs Without MF</t>
  </si>
  <si>
    <t>Space Savings  for 8-bit DMs With MF</t>
  </si>
  <si>
    <t xml:space="preserve">Average Space Savings </t>
  </si>
  <si>
    <t xml:space="preserve">GENERAL Average Space Savings </t>
  </si>
  <si>
    <t xml:space="preserve">5x5 Average Space Savings </t>
  </si>
  <si>
    <t xml:space="preserve">7x7 Average Space Savings </t>
  </si>
  <si>
    <t>TOTAL AVERAGE</t>
  </si>
  <si>
    <t>UNFILTERED</t>
  </si>
  <si>
    <t>FILTERED</t>
  </si>
  <si>
    <r>
      <t xml:space="preserve">Space Savings  for 8-bit DMs Without MF  </t>
    </r>
    <r>
      <rPr>
        <b/>
        <sz val="12"/>
        <color theme="0"/>
        <rFont val="Calibri"/>
        <family val="2"/>
      </rPr>
      <t>δ = 0</t>
    </r>
  </si>
  <si>
    <r>
      <t xml:space="preserve">Space Savings  for 8-bit DMs With MF  </t>
    </r>
    <r>
      <rPr>
        <b/>
        <sz val="12"/>
        <color theme="0"/>
        <rFont val="Calibri"/>
        <family val="2"/>
      </rPr>
      <t>δ = 0</t>
    </r>
  </si>
  <si>
    <r>
      <t xml:space="preserve">Space Savings  for 8-bit DMs Without MF   </t>
    </r>
    <r>
      <rPr>
        <b/>
        <sz val="11"/>
        <color theme="0"/>
        <rFont val="Calibri"/>
        <family val="2"/>
        <scheme val="minor"/>
      </rPr>
      <t>δ = 0</t>
    </r>
  </si>
  <si>
    <r>
      <t xml:space="preserve">Space Savings  for 8-bit DMs With MF </t>
    </r>
    <r>
      <rPr>
        <b/>
        <sz val="11"/>
        <color theme="0"/>
        <rFont val="Calibri"/>
        <family val="2"/>
        <scheme val="minor"/>
      </rPr>
      <t xml:space="preserve"> δ = 0</t>
    </r>
  </si>
  <si>
    <r>
      <t xml:space="preserve">Space Savings  for 8-bit DMs Without MF </t>
    </r>
    <r>
      <rPr>
        <b/>
        <sz val="11"/>
        <color theme="0"/>
        <rFont val="Calibri"/>
        <family val="2"/>
        <scheme val="minor"/>
      </rPr>
      <t>δ = 1</t>
    </r>
  </si>
  <si>
    <r>
      <t xml:space="preserve">Space Savings  for 8-bit DMs With MF </t>
    </r>
    <r>
      <rPr>
        <b/>
        <sz val="11"/>
        <color theme="0"/>
        <rFont val="Calibri"/>
        <family val="2"/>
        <scheme val="minor"/>
      </rPr>
      <t>δ = 1</t>
    </r>
  </si>
  <si>
    <r>
      <t xml:space="preserve">Space Savings  for 8-bit DMs Without MF  </t>
    </r>
    <r>
      <rPr>
        <b/>
        <sz val="11"/>
        <color theme="0"/>
        <rFont val="Calibri"/>
        <family val="2"/>
        <scheme val="minor"/>
      </rPr>
      <t>δ = 3</t>
    </r>
  </si>
  <si>
    <r>
      <t xml:space="preserve">Space Savings  for 8-bit DMs With MF </t>
    </r>
    <r>
      <rPr>
        <b/>
        <sz val="11"/>
        <color theme="0"/>
        <rFont val="Calibri"/>
        <family val="2"/>
        <scheme val="minor"/>
      </rPr>
      <t>δ = 3</t>
    </r>
  </si>
  <si>
    <r>
      <t xml:space="preserve">Without MF  </t>
    </r>
    <r>
      <rPr>
        <b/>
        <sz val="12"/>
        <color theme="0"/>
        <rFont val="Calibri"/>
        <family val="2"/>
      </rPr>
      <t>δ = 1</t>
    </r>
  </si>
  <si>
    <r>
      <t xml:space="preserve">With MF  </t>
    </r>
    <r>
      <rPr>
        <b/>
        <sz val="12"/>
        <color theme="0"/>
        <rFont val="Calibri"/>
        <family val="2"/>
      </rPr>
      <t>δ = 1</t>
    </r>
  </si>
  <si>
    <r>
      <t xml:space="preserve">Without MF  </t>
    </r>
    <r>
      <rPr>
        <b/>
        <sz val="12"/>
        <color theme="0"/>
        <rFont val="Calibri"/>
        <family val="2"/>
      </rPr>
      <t>δ = 3</t>
    </r>
  </si>
  <si>
    <r>
      <t xml:space="preserve">With MF  </t>
    </r>
    <r>
      <rPr>
        <b/>
        <sz val="12"/>
        <color theme="0"/>
        <rFont val="Calibri"/>
        <family val="2"/>
      </rPr>
      <t>δ = 3</t>
    </r>
  </si>
  <si>
    <t>ALL AVERAGES</t>
  </si>
  <si>
    <t>SN (δ = 0)</t>
  </si>
  <si>
    <t>SN (δ = 1)</t>
  </si>
  <si>
    <t>SN (δ = 3)</t>
  </si>
  <si>
    <t>MN (δ = 0)</t>
  </si>
  <si>
    <t>MN (δ = 1)</t>
  </si>
  <si>
    <t>MN (δ = 3)</t>
  </si>
  <si>
    <t>Subpixel Bits</t>
  </si>
  <si>
    <t>JPEG-LS MPO (δ = 0)</t>
  </si>
  <si>
    <t>JPEG-LS MPO (δ = 1)</t>
  </si>
  <si>
    <t>JPEG-LS MPO (δ = 3)</t>
  </si>
  <si>
    <t>General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</si>
</sst>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2" fontId="0" fillId="2" borderId="0" xfId="0" applyNumberFormat="1" applyFill="1"/>
    <xf numFmtId="2" fontId="0" fillId="0" borderId="0" xfId="0" applyNumberFormat="1" applyFill="1"/>
    <xf numFmtId="2" fontId="2" fillId="2" borderId="0" xfId="0" applyNumberFormat="1" applyFont="1" applyFill="1"/>
    <xf numFmtId="2" fontId="2" fillId="0" borderId="0" xfId="0" applyNumberFormat="1" applyFont="1" applyFill="1"/>
    <xf numFmtId="2" fontId="3" fillId="0" borderId="0" xfId="0" applyNumberFormat="1" applyFont="1"/>
    <xf numFmtId="0" fontId="0" fillId="2" borderId="0" xfId="0" applyFill="1"/>
    <xf numFmtId="2" fontId="2" fillId="0" borderId="0" xfId="0" applyNumberFormat="1" applyFont="1" applyFill="1" applyAlignment="1">
      <alignment wrapText="1"/>
    </xf>
    <xf numFmtId="2" fontId="4" fillId="0" borderId="0" xfId="0" applyNumberFormat="1" applyFont="1" applyFill="1"/>
    <xf numFmtId="2" fontId="0" fillId="0" borderId="0" xfId="0" applyNumberFormat="1" applyFill="1" applyAlignment="1">
      <alignment wrapText="1"/>
    </xf>
    <xf numFmtId="2" fontId="2" fillId="3" borderId="0" xfId="0" applyNumberFormat="1" applyFont="1" applyFill="1"/>
    <xf numFmtId="2" fontId="2" fillId="4" borderId="0" xfId="0" applyNumberFormat="1" applyFont="1" applyFill="1"/>
    <xf numFmtId="0" fontId="2" fillId="2" borderId="0" xfId="0" applyFont="1" applyFill="1"/>
    <xf numFmtId="2" fontId="3" fillId="0" borderId="0" xfId="0" applyNumberFormat="1" applyFont="1" applyFill="1"/>
    <xf numFmtId="2" fontId="5" fillId="0" borderId="0" xfId="0" applyNumberFormat="1" applyFont="1" applyFill="1"/>
    <xf numFmtId="2" fontId="0" fillId="0" borderId="0" xfId="0" applyNumberFormat="1" applyFont="1" applyFill="1"/>
    <xf numFmtId="2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F563-632B-4418-B1A3-ED2AFB478C13}">
  <dimension ref="A1:H148"/>
  <sheetViews>
    <sheetView topLeftCell="A67" zoomScaleNormal="100" workbookViewId="0">
      <selection activeCell="D71" sqref="D71"/>
    </sheetView>
  </sheetViews>
  <sheetFormatPr defaultRowHeight="14.4" x14ac:dyDescent="0.3"/>
  <cols>
    <col min="1" max="1" width="35.6640625" customWidth="1"/>
    <col min="2" max="2" width="44.5546875" customWidth="1"/>
    <col min="3" max="3" width="50.6640625" customWidth="1"/>
    <col min="4" max="4" width="43.109375" customWidth="1"/>
    <col min="5" max="5" width="22.88671875" customWidth="1"/>
    <col min="6" max="6" width="22.77734375" customWidth="1"/>
    <col min="7" max="7" width="20" customWidth="1"/>
    <col min="8" max="8" width="17" customWidth="1"/>
  </cols>
  <sheetData>
    <row r="1" spans="1:8" ht="15.6" x14ac:dyDescent="0.3">
      <c r="A1" s="12" t="s">
        <v>11</v>
      </c>
      <c r="B1" s="12" t="s">
        <v>13</v>
      </c>
      <c r="C1" s="12" t="s">
        <v>32</v>
      </c>
      <c r="D1" s="12" t="s">
        <v>33</v>
      </c>
      <c r="E1" s="12" t="s">
        <v>40</v>
      </c>
      <c r="F1" s="12" t="s">
        <v>41</v>
      </c>
      <c r="G1" s="12" t="s">
        <v>42</v>
      </c>
      <c r="H1" s="12" t="s">
        <v>43</v>
      </c>
    </row>
    <row r="2" spans="1:8" x14ac:dyDescent="0.3">
      <c r="A2" s="2" t="s">
        <v>0</v>
      </c>
      <c r="B2" s="1" t="s">
        <v>10</v>
      </c>
      <c r="C2" s="1">
        <v>27.91</v>
      </c>
      <c r="D2" s="1">
        <v>39.61</v>
      </c>
      <c r="E2" s="1">
        <v>25.46</v>
      </c>
      <c r="F2" s="1">
        <v>36.03</v>
      </c>
      <c r="G2" s="1">
        <v>15.09</v>
      </c>
      <c r="H2" s="1">
        <v>26.29</v>
      </c>
    </row>
    <row r="3" spans="1:8" x14ac:dyDescent="0.3">
      <c r="A3" s="1"/>
      <c r="B3" s="1" t="s">
        <v>12</v>
      </c>
      <c r="C3" s="1">
        <v>38.68</v>
      </c>
      <c r="D3" s="1">
        <v>48.5</v>
      </c>
      <c r="E3" s="1">
        <v>37</v>
      </c>
      <c r="F3" s="1">
        <v>44.97</v>
      </c>
      <c r="G3" s="1">
        <v>26.51</v>
      </c>
      <c r="H3" s="1">
        <v>34.75</v>
      </c>
    </row>
    <row r="4" spans="1:8" x14ac:dyDescent="0.3">
      <c r="A4" s="2" t="s">
        <v>1</v>
      </c>
      <c r="B4" s="1" t="s">
        <v>10</v>
      </c>
      <c r="C4" s="1">
        <v>20.64</v>
      </c>
      <c r="D4" s="1">
        <v>31.62</v>
      </c>
      <c r="E4" s="1">
        <v>20.420000000000002</v>
      </c>
      <c r="F4" s="1">
        <v>29.42</v>
      </c>
      <c r="G4" s="1">
        <v>10.029999999999999</v>
      </c>
      <c r="H4" s="1">
        <v>19.98</v>
      </c>
    </row>
    <row r="5" spans="1:8" x14ac:dyDescent="0.3">
      <c r="A5" s="1"/>
      <c r="B5" s="1" t="s">
        <v>12</v>
      </c>
      <c r="C5" s="1">
        <v>29.41</v>
      </c>
      <c r="D5" s="1">
        <v>39.229999999999997</v>
      </c>
      <c r="E5" s="1">
        <v>30.45</v>
      </c>
      <c r="F5" s="1">
        <v>37.75</v>
      </c>
      <c r="G5" s="1">
        <v>20.170000000000002</v>
      </c>
      <c r="H5" s="1">
        <v>28.02</v>
      </c>
    </row>
    <row r="6" spans="1:8" x14ac:dyDescent="0.3">
      <c r="A6" s="2" t="s">
        <v>2</v>
      </c>
      <c r="B6" s="1" t="s">
        <v>10</v>
      </c>
      <c r="C6" s="1">
        <v>33.380000000000003</v>
      </c>
      <c r="D6" s="1">
        <v>44.99</v>
      </c>
      <c r="E6" s="1">
        <v>32.799999999999997</v>
      </c>
      <c r="F6" s="1">
        <v>42.94</v>
      </c>
      <c r="G6" s="1">
        <v>22.44</v>
      </c>
      <c r="H6" s="1">
        <v>33.04</v>
      </c>
    </row>
    <row r="7" spans="1:8" x14ac:dyDescent="0.3">
      <c r="A7" s="1"/>
      <c r="B7" s="1" t="s">
        <v>12</v>
      </c>
      <c r="C7" s="1">
        <v>46.53</v>
      </c>
      <c r="D7" s="1">
        <v>55.57</v>
      </c>
      <c r="E7" s="1">
        <v>46.71</v>
      </c>
      <c r="F7" s="1">
        <v>53.31</v>
      </c>
      <c r="G7" s="1">
        <v>36.11</v>
      </c>
      <c r="H7" s="1">
        <v>42.81</v>
      </c>
    </row>
    <row r="8" spans="1:8" x14ac:dyDescent="0.3">
      <c r="A8" s="2" t="s">
        <v>3</v>
      </c>
      <c r="B8" s="1" t="s">
        <v>10</v>
      </c>
      <c r="C8" s="1">
        <v>37.299999999999997</v>
      </c>
      <c r="D8" s="1">
        <v>47.57</v>
      </c>
      <c r="E8" s="1">
        <v>35.99</v>
      </c>
      <c r="F8" s="1">
        <v>44.93</v>
      </c>
      <c r="G8" s="1">
        <v>25.16</v>
      </c>
      <c r="H8" s="1">
        <v>34.56</v>
      </c>
    </row>
    <row r="9" spans="1:8" x14ac:dyDescent="0.3">
      <c r="A9" s="1"/>
      <c r="B9" s="1" t="s">
        <v>12</v>
      </c>
      <c r="C9" s="1">
        <v>47.33</v>
      </c>
      <c r="D9" s="1">
        <v>55.42</v>
      </c>
      <c r="E9" s="1">
        <v>46.33</v>
      </c>
      <c r="F9" s="1">
        <v>52.58</v>
      </c>
      <c r="G9" s="1">
        <v>35.380000000000003</v>
      </c>
      <c r="H9" s="1">
        <v>41.8</v>
      </c>
    </row>
    <row r="10" spans="1:8" x14ac:dyDescent="0.3">
      <c r="A10" s="2" t="s">
        <v>4</v>
      </c>
      <c r="B10" s="1" t="s">
        <v>10</v>
      </c>
      <c r="C10" s="1">
        <v>40.75</v>
      </c>
      <c r="D10" s="1">
        <v>51.17</v>
      </c>
      <c r="E10" s="1">
        <v>39.29</v>
      </c>
      <c r="F10" s="1">
        <v>48.06</v>
      </c>
      <c r="G10" s="1">
        <v>28.59</v>
      </c>
      <c r="H10" s="1">
        <v>37.75</v>
      </c>
    </row>
    <row r="11" spans="1:8" x14ac:dyDescent="0.3">
      <c r="A11" s="1"/>
      <c r="B11" s="1" t="s">
        <v>12</v>
      </c>
      <c r="C11" s="1">
        <v>51.85</v>
      </c>
      <c r="D11" s="1">
        <v>59.44</v>
      </c>
      <c r="E11" s="1">
        <v>50.54</v>
      </c>
      <c r="F11" s="1">
        <v>55.92</v>
      </c>
      <c r="G11" s="1">
        <v>39.65</v>
      </c>
      <c r="H11" s="1">
        <v>45.15</v>
      </c>
    </row>
    <row r="12" spans="1:8" x14ac:dyDescent="0.3">
      <c r="A12" s="7" t="s">
        <v>5</v>
      </c>
      <c r="B12" s="1" t="s">
        <v>10</v>
      </c>
      <c r="C12" s="1">
        <v>26.67</v>
      </c>
      <c r="D12" s="1">
        <v>38.15</v>
      </c>
      <c r="E12" s="1">
        <v>27.01</v>
      </c>
      <c r="F12" s="1">
        <v>36.78</v>
      </c>
      <c r="G12" s="1">
        <v>17.43</v>
      </c>
      <c r="H12" s="1">
        <v>27.96</v>
      </c>
    </row>
    <row r="13" spans="1:8" x14ac:dyDescent="0.3">
      <c r="A13" s="1"/>
      <c r="B13" s="1" t="s">
        <v>12</v>
      </c>
      <c r="C13" s="1">
        <v>36.06</v>
      </c>
      <c r="D13" s="1">
        <v>46</v>
      </c>
      <c r="E13" s="1">
        <v>37.270000000000003</v>
      </c>
      <c r="F13" s="1">
        <v>44.86</v>
      </c>
      <c r="G13" s="1">
        <v>27.74</v>
      </c>
      <c r="H13" s="1">
        <v>35.65</v>
      </c>
    </row>
    <row r="14" spans="1:8" x14ac:dyDescent="0.3">
      <c r="A14" s="7" t="s">
        <v>6</v>
      </c>
      <c r="B14" s="1" t="s">
        <v>10</v>
      </c>
      <c r="C14" s="1">
        <v>38.630000000000003</v>
      </c>
      <c r="D14" s="1">
        <v>49.53</v>
      </c>
      <c r="E14" s="1">
        <v>35.200000000000003</v>
      </c>
      <c r="F14" s="1">
        <v>45.36</v>
      </c>
      <c r="G14" s="1">
        <v>24.48</v>
      </c>
      <c r="H14" s="1">
        <v>35.22</v>
      </c>
    </row>
    <row r="15" spans="1:8" x14ac:dyDescent="0.3">
      <c r="A15" s="1"/>
      <c r="B15" s="1" t="s">
        <v>12</v>
      </c>
      <c r="C15" s="1">
        <v>49.34</v>
      </c>
      <c r="D15" s="1">
        <v>57.38</v>
      </c>
      <c r="E15" s="1">
        <v>46.48</v>
      </c>
      <c r="F15" s="1">
        <v>53.05</v>
      </c>
      <c r="G15" s="1">
        <v>35.840000000000003</v>
      </c>
      <c r="H15" s="1">
        <v>42.66</v>
      </c>
    </row>
    <row r="16" spans="1:8" x14ac:dyDescent="0.3">
      <c r="A16" s="7" t="s">
        <v>7</v>
      </c>
      <c r="B16" s="1" t="s">
        <v>10</v>
      </c>
      <c r="C16" s="1">
        <v>22.74</v>
      </c>
      <c r="D16" s="1">
        <v>35.229999999999997</v>
      </c>
      <c r="E16" s="1">
        <v>19.39</v>
      </c>
      <c r="F16" s="1">
        <v>31.15</v>
      </c>
      <c r="G16" s="1">
        <v>9.26</v>
      </c>
      <c r="H16" s="1">
        <v>21.81</v>
      </c>
    </row>
    <row r="17" spans="1:8" x14ac:dyDescent="0.3">
      <c r="A17" s="1"/>
      <c r="B17" s="1" t="s">
        <v>12</v>
      </c>
      <c r="C17" s="1">
        <v>33.17</v>
      </c>
      <c r="D17" s="1">
        <v>44.09</v>
      </c>
      <c r="E17" s="1">
        <v>30.89</v>
      </c>
      <c r="F17" s="1">
        <v>40.380000000000003</v>
      </c>
      <c r="G17" s="1">
        <v>20.84</v>
      </c>
      <c r="H17" s="1">
        <v>30.68</v>
      </c>
    </row>
    <row r="18" spans="1:8" x14ac:dyDescent="0.3">
      <c r="A18" s="7" t="s">
        <v>8</v>
      </c>
      <c r="B18" s="1" t="s">
        <v>10</v>
      </c>
      <c r="C18" s="1">
        <v>28.27</v>
      </c>
      <c r="D18" s="1">
        <v>40.200000000000003</v>
      </c>
      <c r="E18" s="1">
        <v>26.25</v>
      </c>
      <c r="F18" s="1">
        <v>36.94</v>
      </c>
      <c r="G18" s="1">
        <v>16.190000000000001</v>
      </c>
      <c r="H18" s="1">
        <v>27.55</v>
      </c>
    </row>
    <row r="19" spans="1:8" x14ac:dyDescent="0.3">
      <c r="A19" s="1"/>
      <c r="B19" s="1" t="s">
        <v>12</v>
      </c>
      <c r="C19" s="1">
        <v>39.11</v>
      </c>
      <c r="D19" s="1">
        <v>49.34</v>
      </c>
      <c r="E19" s="1">
        <v>37.46</v>
      </c>
      <c r="F19" s="1">
        <v>45.82</v>
      </c>
      <c r="G19" s="1">
        <v>27.23</v>
      </c>
      <c r="H19" s="1">
        <v>35.83</v>
      </c>
    </row>
    <row r="20" spans="1:8" x14ac:dyDescent="0.3">
      <c r="A20" s="7" t="s">
        <v>9</v>
      </c>
      <c r="B20" s="1" t="s">
        <v>10</v>
      </c>
      <c r="C20" s="1">
        <v>21.88</v>
      </c>
      <c r="D20" s="1">
        <v>33.51</v>
      </c>
      <c r="E20" s="1">
        <v>24.28</v>
      </c>
      <c r="F20" s="1">
        <v>33.369999999999997</v>
      </c>
      <c r="G20" s="1">
        <v>14.9</v>
      </c>
      <c r="H20" s="1">
        <v>25.27</v>
      </c>
    </row>
    <row r="21" spans="1:8" x14ac:dyDescent="0.3">
      <c r="A21" s="1"/>
      <c r="B21" s="1" t="s">
        <v>12</v>
      </c>
      <c r="C21" s="1">
        <v>30.22</v>
      </c>
      <c r="D21" s="1">
        <v>40.799999999999997</v>
      </c>
      <c r="E21" s="1">
        <v>33.28</v>
      </c>
      <c r="F21" s="1">
        <v>41.13</v>
      </c>
      <c r="G21" s="1">
        <v>24.24</v>
      </c>
      <c r="H21" s="1">
        <v>32.799999999999997</v>
      </c>
    </row>
    <row r="22" spans="1:8" x14ac:dyDescent="0.3">
      <c r="A22" s="1"/>
      <c r="B22" s="13" t="s">
        <v>25</v>
      </c>
      <c r="C22" s="2">
        <f>AVERAGE(C2:C21)</f>
        <v>34.993499999999997</v>
      </c>
      <c r="D22" s="2">
        <f>AVERAGE(D2:D21)</f>
        <v>45.3675</v>
      </c>
      <c r="E22" s="2">
        <f>AVERAGE(E2:E21)</f>
        <v>34.125</v>
      </c>
      <c r="F22" s="2">
        <f>AVERAGE(F2:F21)</f>
        <v>42.737500000000004</v>
      </c>
      <c r="G22" s="2">
        <f t="shared" ref="G22:H22" si="0">AVERAGE(G2:G21)</f>
        <v>23.863999999999997</v>
      </c>
      <c r="H22" s="2">
        <f t="shared" si="0"/>
        <v>32.978999999999992</v>
      </c>
    </row>
    <row r="23" spans="1:8" x14ac:dyDescent="0.3">
      <c r="A23" s="1"/>
      <c r="B23" s="13" t="s">
        <v>27</v>
      </c>
      <c r="C23" s="2">
        <f t="shared" ref="C23:F24" si="1">AVERAGE(C2,C4,C6,C8,C10,C12,C14,C16,C18,C20)</f>
        <v>29.817</v>
      </c>
      <c r="D23" s="2">
        <f t="shared" si="1"/>
        <v>41.158000000000001</v>
      </c>
      <c r="E23" s="2">
        <f t="shared" si="1"/>
        <v>28.609000000000002</v>
      </c>
      <c r="F23" s="2">
        <f t="shared" si="1"/>
        <v>38.497999999999998</v>
      </c>
      <c r="G23" s="2">
        <f t="shared" ref="G23:H23" si="2">AVERAGE(G2,G4,G6,G8,G10,G12,G14,G16,G18,G20)</f>
        <v>18.356999999999999</v>
      </c>
      <c r="H23" s="2">
        <f t="shared" si="2"/>
        <v>28.943000000000001</v>
      </c>
    </row>
    <row r="24" spans="1:8" x14ac:dyDescent="0.3">
      <c r="A24" s="1"/>
      <c r="B24" s="13" t="s">
        <v>28</v>
      </c>
      <c r="C24" s="2">
        <f t="shared" si="1"/>
        <v>40.17</v>
      </c>
      <c r="D24" s="2">
        <f t="shared" si="1"/>
        <v>49.577000000000005</v>
      </c>
      <c r="E24" s="2">
        <f t="shared" si="1"/>
        <v>39.640999999999998</v>
      </c>
      <c r="F24" s="2">
        <f t="shared" si="1"/>
        <v>46.977000000000004</v>
      </c>
      <c r="G24" s="2">
        <f t="shared" ref="G24:H24" si="3">AVERAGE(G3,G5,G7,G9,G11,G13,G15,G17,G19,G21)</f>
        <v>29.371000000000002</v>
      </c>
      <c r="H24" s="2">
        <f t="shared" si="3"/>
        <v>37.015000000000001</v>
      </c>
    </row>
    <row r="25" spans="1:8" ht="15.6" x14ac:dyDescent="0.3">
      <c r="B25" s="12" t="s">
        <v>13</v>
      </c>
      <c r="C25" s="12" t="s">
        <v>32</v>
      </c>
      <c r="D25" s="12" t="s">
        <v>33</v>
      </c>
      <c r="E25" s="12" t="s">
        <v>40</v>
      </c>
      <c r="F25" s="12" t="s">
        <v>41</v>
      </c>
      <c r="G25" s="12" t="s">
        <v>42</v>
      </c>
      <c r="H25" s="12" t="s">
        <v>43</v>
      </c>
    </row>
    <row r="26" spans="1:8" x14ac:dyDescent="0.3">
      <c r="A26" s="2" t="s">
        <v>0</v>
      </c>
      <c r="B26" s="1" t="s">
        <v>14</v>
      </c>
      <c r="C26" s="1">
        <v>56.84</v>
      </c>
      <c r="D26" s="1">
        <v>59.27</v>
      </c>
      <c r="E26" s="1">
        <v>53.42</v>
      </c>
      <c r="F26" s="1">
        <v>55.47</v>
      </c>
      <c r="G26" s="1">
        <v>42.81</v>
      </c>
      <c r="H26" s="1">
        <v>45.03</v>
      </c>
    </row>
    <row r="27" spans="1:8" x14ac:dyDescent="0.3">
      <c r="A27" s="1"/>
      <c r="B27" s="1" t="s">
        <v>15</v>
      </c>
      <c r="C27" s="1">
        <v>62.02</v>
      </c>
      <c r="D27" s="1">
        <v>63.74</v>
      </c>
      <c r="E27" s="1">
        <v>57.82</v>
      </c>
      <c r="F27" s="1">
        <v>59.24</v>
      </c>
      <c r="G27" s="1">
        <v>46.97</v>
      </c>
      <c r="H27" s="1">
        <v>48.51</v>
      </c>
    </row>
    <row r="28" spans="1:8" x14ac:dyDescent="0.3">
      <c r="A28" s="2" t="s">
        <v>1</v>
      </c>
      <c r="B28" s="1" t="s">
        <v>14</v>
      </c>
      <c r="C28" s="1">
        <v>43.56</v>
      </c>
      <c r="D28" s="1">
        <v>46.61</v>
      </c>
      <c r="E28" s="1">
        <v>45.26</v>
      </c>
      <c r="F28" s="1">
        <v>46.91</v>
      </c>
      <c r="G28" s="1">
        <v>35.090000000000003</v>
      </c>
      <c r="H28" s="1">
        <v>37.15</v>
      </c>
    </row>
    <row r="29" spans="1:8" x14ac:dyDescent="0.3">
      <c r="A29" s="1"/>
      <c r="B29" s="1" t="s">
        <v>15</v>
      </c>
      <c r="C29" s="1">
        <v>49.1</v>
      </c>
      <c r="D29" s="1">
        <v>51.37</v>
      </c>
      <c r="E29" s="1">
        <v>49.65</v>
      </c>
      <c r="F29" s="1">
        <v>50.86</v>
      </c>
      <c r="G29" s="1">
        <v>39.24</v>
      </c>
      <c r="H29" s="1">
        <v>40.71</v>
      </c>
    </row>
    <row r="30" spans="1:8" x14ac:dyDescent="0.3">
      <c r="A30" s="2" t="s">
        <v>2</v>
      </c>
      <c r="B30" s="1" t="s">
        <v>14</v>
      </c>
      <c r="C30" s="1">
        <v>62.59</v>
      </c>
      <c r="D30" s="1">
        <v>64.97</v>
      </c>
      <c r="E30" s="1">
        <v>61.37</v>
      </c>
      <c r="F30" s="1">
        <v>62.97</v>
      </c>
      <c r="G30" s="1">
        <v>50.46</v>
      </c>
      <c r="H30" s="1">
        <v>52.16</v>
      </c>
    </row>
    <row r="31" spans="1:8" x14ac:dyDescent="0.3">
      <c r="A31" s="1"/>
      <c r="B31" s="1" t="s">
        <v>15</v>
      </c>
      <c r="C31" s="1">
        <v>67.39</v>
      </c>
      <c r="D31" s="1">
        <v>68.94</v>
      </c>
      <c r="E31" s="1">
        <v>64.91</v>
      </c>
      <c r="F31" s="1">
        <v>65.849999999999994</v>
      </c>
      <c r="G31" s="1">
        <v>53.72</v>
      </c>
      <c r="H31" s="1">
        <v>54.72</v>
      </c>
    </row>
    <row r="32" spans="1:8" x14ac:dyDescent="0.3">
      <c r="A32" s="2" t="s">
        <v>3</v>
      </c>
      <c r="B32" s="1" t="s">
        <v>14</v>
      </c>
      <c r="C32" s="1">
        <v>61.29</v>
      </c>
      <c r="D32" s="1">
        <v>63.33</v>
      </c>
      <c r="E32" s="1">
        <v>58.64</v>
      </c>
      <c r="F32" s="1">
        <v>60.27</v>
      </c>
      <c r="G32" s="1">
        <v>47.5</v>
      </c>
      <c r="H32" s="1">
        <v>49.26</v>
      </c>
    </row>
    <row r="33" spans="1:8" x14ac:dyDescent="0.3">
      <c r="A33" s="1"/>
      <c r="B33" s="1" t="s">
        <v>15</v>
      </c>
      <c r="C33" s="1">
        <v>65.489999999999995</v>
      </c>
      <c r="D33" s="1">
        <v>66.900000000000006</v>
      </c>
      <c r="E33" s="1">
        <v>62.1</v>
      </c>
      <c r="F33" s="1">
        <v>63.19</v>
      </c>
      <c r="G33" s="1">
        <v>50.78</v>
      </c>
      <c r="H33" s="1">
        <v>51.95</v>
      </c>
    </row>
    <row r="34" spans="1:8" x14ac:dyDescent="0.3">
      <c r="A34" s="2" t="s">
        <v>4</v>
      </c>
      <c r="B34" s="1" t="s">
        <v>14</v>
      </c>
      <c r="C34" s="1">
        <v>64.319999999999993</v>
      </c>
      <c r="D34" s="1">
        <v>66.36</v>
      </c>
      <c r="E34" s="1">
        <v>61.69</v>
      </c>
      <c r="F34" s="1">
        <v>63.03</v>
      </c>
      <c r="G34" s="1">
        <v>50.61</v>
      </c>
      <c r="H34" s="1">
        <v>52.07</v>
      </c>
    </row>
    <row r="35" spans="1:8" x14ac:dyDescent="0.3">
      <c r="A35" s="1"/>
      <c r="B35" s="1" t="s">
        <v>15</v>
      </c>
      <c r="C35" s="1">
        <v>68.11</v>
      </c>
      <c r="D35" s="1">
        <v>69.47</v>
      </c>
      <c r="E35" s="1">
        <v>64.540000000000006</v>
      </c>
      <c r="F35" s="1">
        <v>65.39</v>
      </c>
      <c r="G35" s="1">
        <v>53.24</v>
      </c>
      <c r="H35" s="1">
        <v>54.16</v>
      </c>
    </row>
    <row r="36" spans="1:8" x14ac:dyDescent="0.3">
      <c r="A36" s="7" t="s">
        <v>5</v>
      </c>
      <c r="B36" s="1" t="s">
        <v>14</v>
      </c>
      <c r="C36" s="1">
        <v>52.69</v>
      </c>
      <c r="D36" s="1">
        <v>55.34</v>
      </c>
      <c r="E36" s="1">
        <v>52.81</v>
      </c>
      <c r="F36" s="1">
        <v>54.74</v>
      </c>
      <c r="G36" s="1">
        <v>43.21</v>
      </c>
      <c r="H36" s="1">
        <v>45.38</v>
      </c>
    </row>
    <row r="37" spans="1:8" x14ac:dyDescent="0.3">
      <c r="A37" s="1"/>
      <c r="B37" s="1" t="s">
        <v>15</v>
      </c>
      <c r="C37" s="1">
        <v>57.7</v>
      </c>
      <c r="D37" s="1">
        <v>59.61</v>
      </c>
      <c r="E37" s="1">
        <v>56.88</v>
      </c>
      <c r="F37" s="1">
        <v>58.23</v>
      </c>
      <c r="G37" s="1">
        <v>46.97</v>
      </c>
      <c r="H37" s="1">
        <v>48.47</v>
      </c>
    </row>
    <row r="38" spans="1:8" x14ac:dyDescent="0.3">
      <c r="A38" s="7" t="s">
        <v>6</v>
      </c>
      <c r="B38" s="1" t="s">
        <v>14</v>
      </c>
      <c r="C38" s="1">
        <v>63.11</v>
      </c>
      <c r="D38" s="1">
        <v>65.14</v>
      </c>
      <c r="E38" s="1">
        <v>58.8</v>
      </c>
      <c r="F38" s="1">
        <v>60.49</v>
      </c>
      <c r="G38" s="1">
        <v>48.18</v>
      </c>
      <c r="H38" s="1">
        <v>50.05</v>
      </c>
    </row>
    <row r="39" spans="1:8" x14ac:dyDescent="0.3">
      <c r="A39" s="1"/>
      <c r="B39" s="1" t="s">
        <v>15</v>
      </c>
      <c r="C39" s="1">
        <v>67.150000000000006</v>
      </c>
      <c r="D39" s="1">
        <v>68.56</v>
      </c>
      <c r="E39" s="1">
        <v>62.07</v>
      </c>
      <c r="F39" s="1">
        <v>63.22</v>
      </c>
      <c r="G39" s="1">
        <v>51.28</v>
      </c>
      <c r="H39" s="1">
        <v>52.51</v>
      </c>
    </row>
    <row r="40" spans="1:8" x14ac:dyDescent="0.3">
      <c r="A40" s="7" t="s">
        <v>7</v>
      </c>
      <c r="B40" s="1" t="s">
        <v>14</v>
      </c>
      <c r="C40" s="1">
        <v>53.02</v>
      </c>
      <c r="D40" s="1">
        <v>56.11</v>
      </c>
      <c r="E40" s="1">
        <v>49.93</v>
      </c>
      <c r="F40" s="1">
        <v>52.69</v>
      </c>
      <c r="G40" s="1">
        <v>39.979999999999997</v>
      </c>
      <c r="H40" s="1">
        <v>42.96</v>
      </c>
    </row>
    <row r="41" spans="1:8" x14ac:dyDescent="0.3">
      <c r="A41" s="1"/>
      <c r="B41" s="1" t="s">
        <v>15</v>
      </c>
      <c r="C41" s="1">
        <v>59.14</v>
      </c>
      <c r="D41" s="1">
        <v>61.3</v>
      </c>
      <c r="E41" s="1">
        <v>55.42</v>
      </c>
      <c r="F41" s="1">
        <v>57.3</v>
      </c>
      <c r="G41" s="1">
        <v>45.19</v>
      </c>
      <c r="H41" s="1">
        <v>47.18</v>
      </c>
    </row>
    <row r="42" spans="1:8" x14ac:dyDescent="0.3">
      <c r="A42" s="7" t="s">
        <v>8</v>
      </c>
      <c r="B42" s="1" t="s">
        <v>14</v>
      </c>
      <c r="C42" s="1">
        <v>57.22</v>
      </c>
      <c r="D42" s="1">
        <v>59.47</v>
      </c>
      <c r="E42" s="1">
        <v>52.98</v>
      </c>
      <c r="F42" s="1">
        <v>54.93</v>
      </c>
      <c r="G42" s="1">
        <v>42.39</v>
      </c>
      <c r="H42" s="1">
        <v>44.55</v>
      </c>
    </row>
    <row r="43" spans="1:8" x14ac:dyDescent="0.3">
      <c r="A43" s="1"/>
      <c r="B43" s="1" t="s">
        <v>15</v>
      </c>
      <c r="C43" s="1">
        <v>61.99</v>
      </c>
      <c r="D43" s="1">
        <v>63.6</v>
      </c>
      <c r="E43" s="1">
        <v>57.02</v>
      </c>
      <c r="F43" s="1">
        <v>58.39</v>
      </c>
      <c r="G43" s="1">
        <v>46.2</v>
      </c>
      <c r="H43" s="1">
        <v>47.71</v>
      </c>
    </row>
    <row r="44" spans="1:8" x14ac:dyDescent="0.3">
      <c r="A44" s="7" t="s">
        <v>9</v>
      </c>
      <c r="B44" s="1" t="s">
        <v>14</v>
      </c>
      <c r="C44" s="1">
        <v>46.72</v>
      </c>
      <c r="D44" s="1">
        <v>49.72</v>
      </c>
      <c r="E44" s="1">
        <v>47.58</v>
      </c>
      <c r="F44" s="1">
        <v>49.56</v>
      </c>
      <c r="G44" s="1">
        <v>38.619999999999997</v>
      </c>
      <c r="H44" s="1">
        <v>41.01</v>
      </c>
    </row>
    <row r="45" spans="1:8" x14ac:dyDescent="0.3">
      <c r="B45" s="1" t="s">
        <v>15</v>
      </c>
      <c r="C45" s="1">
        <v>52.1</v>
      </c>
      <c r="D45" s="1">
        <v>54.27</v>
      </c>
      <c r="E45" s="1">
        <v>51.46</v>
      </c>
      <c r="F45" s="1">
        <v>52.89</v>
      </c>
      <c r="G45" s="1">
        <v>42.29</v>
      </c>
      <c r="H45" s="1">
        <v>43.99</v>
      </c>
    </row>
    <row r="46" spans="1:8" x14ac:dyDescent="0.3">
      <c r="B46" s="13" t="s">
        <v>25</v>
      </c>
      <c r="C46" s="2">
        <f>AVERAGE(C26:C45)</f>
        <v>58.577500000000001</v>
      </c>
      <c r="D46" s="2">
        <f>AVERAGE(D26:D45)</f>
        <v>60.703999999999994</v>
      </c>
      <c r="E46" s="2">
        <f>AVERAGE(E26:E45)</f>
        <v>56.217499999999987</v>
      </c>
      <c r="F46" s="2">
        <f>AVERAGE(F26:F45)</f>
        <v>57.781000000000006</v>
      </c>
      <c r="G46" s="2">
        <f t="shared" ref="G46" si="4">AVERAGE(G26:G45)</f>
        <v>45.736499999999999</v>
      </c>
      <c r="H46" s="2">
        <f t="shared" ref="H46" si="5">AVERAGE(H26:H45)</f>
        <v>47.476499999999994</v>
      </c>
    </row>
    <row r="47" spans="1:8" x14ac:dyDescent="0.3">
      <c r="B47" s="13" t="s">
        <v>27</v>
      </c>
      <c r="C47" s="2">
        <f t="shared" ref="C47:F48" si="6">AVERAGE(C26,C28,C30,C32,C34,C36,C38,C40,C42,C44)</f>
        <v>56.136000000000003</v>
      </c>
      <c r="D47" s="2">
        <f t="shared" si="6"/>
        <v>58.632000000000005</v>
      </c>
      <c r="E47" s="2">
        <f t="shared" si="6"/>
        <v>54.248000000000005</v>
      </c>
      <c r="F47" s="2">
        <f t="shared" si="6"/>
        <v>56.105999999999995</v>
      </c>
      <c r="G47" s="2">
        <f t="shared" ref="G47:H47" si="7">AVERAGE(G26,G28,G30,G32,G34,G36,G38,G40,G42,G44)</f>
        <v>43.885000000000005</v>
      </c>
      <c r="H47" s="2">
        <f t="shared" si="7"/>
        <v>45.962000000000003</v>
      </c>
    </row>
    <row r="48" spans="1:8" x14ac:dyDescent="0.3">
      <c r="B48" s="13" t="s">
        <v>28</v>
      </c>
      <c r="C48" s="2">
        <f t="shared" si="6"/>
        <v>61.019000000000005</v>
      </c>
      <c r="D48" s="2">
        <f t="shared" si="6"/>
        <v>62.775999999999996</v>
      </c>
      <c r="E48" s="2">
        <f t="shared" si="6"/>
        <v>58.186999999999998</v>
      </c>
      <c r="F48" s="2">
        <f t="shared" si="6"/>
        <v>59.456000000000003</v>
      </c>
      <c r="G48" s="2">
        <f t="shared" ref="G48:H48" si="8">AVERAGE(G27,G29,G31,G33,G35,G37,G39,G41,G43,G45)</f>
        <v>47.588000000000008</v>
      </c>
      <c r="H48" s="2">
        <f t="shared" si="8"/>
        <v>48.991</v>
      </c>
    </row>
    <row r="49" spans="1:8" ht="15.6" x14ac:dyDescent="0.3">
      <c r="B49" s="12" t="s">
        <v>13</v>
      </c>
      <c r="C49" s="12" t="s">
        <v>32</v>
      </c>
      <c r="D49" s="12" t="s">
        <v>33</v>
      </c>
      <c r="E49" s="12" t="s">
        <v>40</v>
      </c>
      <c r="F49" s="12" t="s">
        <v>41</v>
      </c>
      <c r="G49" s="12" t="s">
        <v>42</v>
      </c>
      <c r="H49" s="12" t="s">
        <v>43</v>
      </c>
    </row>
    <row r="50" spans="1:8" x14ac:dyDescent="0.3">
      <c r="A50" s="2" t="s">
        <v>0</v>
      </c>
      <c r="B50" s="1" t="s">
        <v>16</v>
      </c>
      <c r="C50" s="17">
        <v>0.9</v>
      </c>
      <c r="D50" s="17">
        <v>24.84</v>
      </c>
      <c r="E50" s="17">
        <v>6.63</v>
      </c>
      <c r="F50" s="17">
        <v>26.24</v>
      </c>
      <c r="G50" s="17">
        <v>-1.82</v>
      </c>
      <c r="H50" s="17">
        <v>19.63</v>
      </c>
    </row>
    <row r="51" spans="1:8" x14ac:dyDescent="0.3">
      <c r="A51" s="2" t="s">
        <v>1</v>
      </c>
      <c r="B51" s="1" t="s">
        <v>16</v>
      </c>
      <c r="C51" s="17">
        <v>-2.48</v>
      </c>
      <c r="D51" s="17">
        <v>17.93</v>
      </c>
      <c r="E51" s="17">
        <v>5.38</v>
      </c>
      <c r="F51" s="17">
        <v>20.23</v>
      </c>
      <c r="G51" s="17">
        <v>-3.53</v>
      </c>
      <c r="H51" s="17">
        <v>13.82</v>
      </c>
    </row>
    <row r="52" spans="1:8" x14ac:dyDescent="0.3">
      <c r="A52" s="2" t="s">
        <v>2</v>
      </c>
      <c r="B52" s="1" t="s">
        <v>16</v>
      </c>
      <c r="C52" s="17">
        <v>1.72</v>
      </c>
      <c r="D52" s="17">
        <v>25.95</v>
      </c>
      <c r="E52" s="17">
        <v>11.56</v>
      </c>
      <c r="F52" s="17">
        <v>30.89</v>
      </c>
      <c r="G52" s="17">
        <v>3.72</v>
      </c>
      <c r="H52" s="17">
        <v>24.64</v>
      </c>
    </row>
    <row r="53" spans="1:8" x14ac:dyDescent="0.3">
      <c r="A53" s="2" t="s">
        <v>3</v>
      </c>
      <c r="B53" s="1" t="s">
        <v>16</v>
      </c>
      <c r="C53" s="17">
        <v>7.68</v>
      </c>
      <c r="D53" s="17">
        <v>32.82</v>
      </c>
      <c r="E53" s="17">
        <v>14.63</v>
      </c>
      <c r="F53" s="17">
        <v>35.130000000000003</v>
      </c>
      <c r="G53" s="17">
        <v>5.44</v>
      </c>
      <c r="H53" s="17">
        <v>27.36</v>
      </c>
    </row>
    <row r="54" spans="1:8" x14ac:dyDescent="0.3">
      <c r="A54" s="2" t="s">
        <v>4</v>
      </c>
      <c r="B54" s="1" t="s">
        <v>16</v>
      </c>
      <c r="C54" s="17">
        <v>6.73</v>
      </c>
      <c r="D54" s="17">
        <v>34.299999999999997</v>
      </c>
      <c r="E54" s="17">
        <v>15.29</v>
      </c>
      <c r="F54" s="17">
        <v>37.630000000000003</v>
      </c>
      <c r="G54" s="17">
        <v>6.78</v>
      </c>
      <c r="H54" s="17">
        <v>30.33</v>
      </c>
    </row>
    <row r="55" spans="1:8" x14ac:dyDescent="0.3">
      <c r="A55" s="7" t="s">
        <v>5</v>
      </c>
      <c r="B55" s="1" t="s">
        <v>16</v>
      </c>
      <c r="C55" s="17">
        <v>0.7</v>
      </c>
      <c r="D55" s="17">
        <v>23.04</v>
      </c>
      <c r="E55" s="17">
        <v>10.46</v>
      </c>
      <c r="F55" s="17">
        <v>27.08</v>
      </c>
      <c r="G55" s="17">
        <v>2.73</v>
      </c>
      <c r="H55" s="17">
        <v>21.68</v>
      </c>
    </row>
    <row r="56" spans="1:8" x14ac:dyDescent="0.3">
      <c r="A56" s="7" t="s">
        <v>6</v>
      </c>
      <c r="B56" s="1" t="s">
        <v>16</v>
      </c>
      <c r="C56" s="17">
        <v>4.58</v>
      </c>
      <c r="D56" s="17">
        <v>31.03</v>
      </c>
      <c r="E56" s="17">
        <v>9.14</v>
      </c>
      <c r="F56" s="17">
        <v>32.14</v>
      </c>
      <c r="G56" s="17">
        <v>-0.35</v>
      </c>
      <c r="H56" s="17">
        <v>24.25</v>
      </c>
    </row>
    <row r="57" spans="1:8" x14ac:dyDescent="0.3">
      <c r="A57" s="7" t="s">
        <v>7</v>
      </c>
      <c r="B57" s="1" t="s">
        <v>16</v>
      </c>
      <c r="C57" s="17">
        <v>-1.2</v>
      </c>
      <c r="D57" s="17">
        <v>21.19</v>
      </c>
      <c r="E57" s="17">
        <v>3.25</v>
      </c>
      <c r="F57" s="17">
        <v>22.25</v>
      </c>
      <c r="G57" s="17">
        <v>-4.82</v>
      </c>
      <c r="H57" s="17">
        <v>16.670000000000002</v>
      </c>
    </row>
    <row r="58" spans="1:8" x14ac:dyDescent="0.3">
      <c r="A58" s="7" t="s">
        <v>8</v>
      </c>
      <c r="B58" s="1" t="s">
        <v>16</v>
      </c>
      <c r="C58" s="17">
        <v>0.61</v>
      </c>
      <c r="D58" s="17">
        <v>23.65</v>
      </c>
      <c r="E58" s="17">
        <v>6.01</v>
      </c>
      <c r="F58" s="17">
        <v>24.33</v>
      </c>
      <c r="G58" s="17">
        <v>-2.61</v>
      </c>
      <c r="H58" s="17">
        <v>17.809999999999999</v>
      </c>
    </row>
    <row r="59" spans="1:8" x14ac:dyDescent="0.3">
      <c r="A59" s="7" t="s">
        <v>9</v>
      </c>
      <c r="B59" s="1" t="s">
        <v>16</v>
      </c>
      <c r="C59" s="17">
        <v>0.03</v>
      </c>
      <c r="D59" s="17">
        <v>19.96</v>
      </c>
      <c r="E59" s="17">
        <v>11.42</v>
      </c>
      <c r="F59" s="17">
        <v>23.54</v>
      </c>
      <c r="G59" s="17">
        <v>2.13</v>
      </c>
      <c r="H59" s="17">
        <v>17.38</v>
      </c>
    </row>
    <row r="60" spans="1:8" x14ac:dyDescent="0.3">
      <c r="A60" s="4"/>
      <c r="B60" s="13" t="s">
        <v>25</v>
      </c>
      <c r="C60" s="2">
        <f>AVERAGE(C50:C59)</f>
        <v>1.927</v>
      </c>
      <c r="D60" s="2">
        <f t="shared" ref="D60:H60" si="9">AVERAGE(D50:D59)</f>
        <v>25.470999999999997</v>
      </c>
      <c r="E60" s="2">
        <f t="shared" si="9"/>
        <v>9.3770000000000007</v>
      </c>
      <c r="F60" s="2">
        <f t="shared" si="9"/>
        <v>27.945999999999998</v>
      </c>
      <c r="G60" s="2">
        <f t="shared" si="9"/>
        <v>0.76700000000000024</v>
      </c>
      <c r="H60" s="2">
        <f t="shared" si="9"/>
        <v>21.356999999999999</v>
      </c>
    </row>
    <row r="61" spans="1:8" x14ac:dyDescent="0.3">
      <c r="A61" s="15"/>
      <c r="B61" s="4"/>
      <c r="C61" s="4"/>
      <c r="D61" s="4"/>
    </row>
    <row r="62" spans="1:8" x14ac:dyDescent="0.3">
      <c r="A62" s="4"/>
      <c r="B62" s="5" t="s">
        <v>55</v>
      </c>
      <c r="C62" s="6">
        <f>AVERAGE(C2:C21,C26:C45,C50:C59)</f>
        <v>37.813800000000001</v>
      </c>
      <c r="D62" s="6">
        <f t="shared" ref="D62:H62" si="10">AVERAGE(D2:D21,D26:D45,D50:D59)</f>
        <v>47.522799999999997</v>
      </c>
      <c r="E62" s="6">
        <f t="shared" si="10"/>
        <v>38.012400000000007</v>
      </c>
      <c r="F62" s="6">
        <f t="shared" si="10"/>
        <v>45.796599999999998</v>
      </c>
      <c r="G62" s="6">
        <f t="shared" si="10"/>
        <v>27.993600000000015</v>
      </c>
      <c r="H62" s="6">
        <f t="shared" si="10"/>
        <v>36.453600000000002</v>
      </c>
    </row>
    <row r="63" spans="1:8" x14ac:dyDescent="0.3">
      <c r="A63" s="15"/>
      <c r="B63" s="4"/>
      <c r="C63" s="4"/>
      <c r="D63" s="4"/>
    </row>
    <row r="64" spans="1:8" x14ac:dyDescent="0.3">
      <c r="A64" s="4"/>
      <c r="B64" s="4"/>
      <c r="C64" s="4"/>
      <c r="D64" s="4"/>
    </row>
    <row r="65" spans="1:7" ht="15.6" x14ac:dyDescent="0.3">
      <c r="A65" s="15"/>
      <c r="B65" s="12" t="s">
        <v>32</v>
      </c>
      <c r="C65" s="12" t="s">
        <v>33</v>
      </c>
      <c r="D65" s="12" t="s">
        <v>40</v>
      </c>
      <c r="E65" s="12" t="s">
        <v>41</v>
      </c>
      <c r="F65" s="12" t="s">
        <v>42</v>
      </c>
      <c r="G65" s="12" t="s">
        <v>43</v>
      </c>
    </row>
    <row r="66" spans="1:7" x14ac:dyDescent="0.3">
      <c r="A66" s="2" t="s">
        <v>0</v>
      </c>
      <c r="B66" s="4">
        <f t="shared" ref="B66:G66" si="11">AVERAGE(C2,C3,C26,C27,C50)</f>
        <v>37.270000000000003</v>
      </c>
      <c r="C66" s="4">
        <f t="shared" si="11"/>
        <v>47.192</v>
      </c>
      <c r="D66" s="4">
        <f t="shared" si="11"/>
        <v>36.065999999999995</v>
      </c>
      <c r="E66" s="4">
        <f t="shared" si="11"/>
        <v>44.39</v>
      </c>
      <c r="F66" s="4">
        <f t="shared" si="11"/>
        <v>25.911999999999999</v>
      </c>
      <c r="G66" s="4">
        <f t="shared" si="11"/>
        <v>34.841999999999999</v>
      </c>
    </row>
    <row r="67" spans="1:7" x14ac:dyDescent="0.3">
      <c r="A67" s="2" t="s">
        <v>1</v>
      </c>
      <c r="B67" s="4">
        <f t="shared" ref="B67:G67" si="12">AVERAGE(C4,C5,C28,C29,C51)</f>
        <v>28.046000000000003</v>
      </c>
      <c r="C67" s="4">
        <f t="shared" si="12"/>
        <v>37.351999999999997</v>
      </c>
      <c r="D67" s="4">
        <f t="shared" si="12"/>
        <v>30.231999999999999</v>
      </c>
      <c r="E67" s="4">
        <f t="shared" si="12"/>
        <v>37.033999999999999</v>
      </c>
      <c r="F67" s="4">
        <f t="shared" si="12"/>
        <v>20.2</v>
      </c>
      <c r="G67" s="4">
        <f t="shared" si="12"/>
        <v>27.936</v>
      </c>
    </row>
    <row r="68" spans="1:7" x14ac:dyDescent="0.3">
      <c r="A68" s="2" t="s">
        <v>2</v>
      </c>
      <c r="B68" s="4">
        <f t="shared" ref="B68:G68" si="13">AVERAGE(C6,C7,C30,C31,C52)</f>
        <v>42.321999999999996</v>
      </c>
      <c r="C68" s="4">
        <f t="shared" si="13"/>
        <v>52.084000000000003</v>
      </c>
      <c r="D68" s="4">
        <f t="shared" si="13"/>
        <v>43.47</v>
      </c>
      <c r="E68" s="4">
        <f t="shared" si="13"/>
        <v>51.191999999999993</v>
      </c>
      <c r="F68" s="4">
        <f t="shared" si="13"/>
        <v>33.29</v>
      </c>
      <c r="G68" s="4">
        <f t="shared" si="13"/>
        <v>41.474000000000004</v>
      </c>
    </row>
    <row r="69" spans="1:7" x14ac:dyDescent="0.3">
      <c r="A69" s="2" t="s">
        <v>3</v>
      </c>
      <c r="B69" s="4">
        <f t="shared" ref="B69:G69" si="14">AVERAGE(C8,C9,C32,C33,C53)</f>
        <v>43.817999999999998</v>
      </c>
      <c r="C69" s="4">
        <f t="shared" si="14"/>
        <v>53.208000000000006</v>
      </c>
      <c r="D69" s="4">
        <f t="shared" si="14"/>
        <v>43.537999999999997</v>
      </c>
      <c r="E69" s="4">
        <f t="shared" si="14"/>
        <v>51.220000000000006</v>
      </c>
      <c r="F69" s="4">
        <f t="shared" si="14"/>
        <v>32.851999999999997</v>
      </c>
      <c r="G69" s="4">
        <f t="shared" si="14"/>
        <v>40.986000000000004</v>
      </c>
    </row>
    <row r="70" spans="1:7" x14ac:dyDescent="0.3">
      <c r="A70" s="2" t="s">
        <v>4</v>
      </c>
      <c r="B70" s="4">
        <f t="shared" ref="B70:G72" si="15">AVERAGE(C10,C11,C34,C35,C54)</f>
        <v>46.35199999999999</v>
      </c>
      <c r="C70" s="4">
        <f t="shared" si="15"/>
        <v>56.148000000000003</v>
      </c>
      <c r="D70" s="4">
        <f t="shared" si="15"/>
        <v>46.269999999999996</v>
      </c>
      <c r="E70" s="4">
        <f t="shared" si="15"/>
        <v>54.005999999999993</v>
      </c>
      <c r="F70" s="4">
        <f t="shared" si="15"/>
        <v>35.774000000000001</v>
      </c>
      <c r="G70" s="4">
        <f t="shared" si="15"/>
        <v>43.891999999999996</v>
      </c>
    </row>
    <row r="71" spans="1:7" x14ac:dyDescent="0.3">
      <c r="A71" s="7" t="s">
        <v>5</v>
      </c>
      <c r="B71" s="4">
        <f t="shared" si="15"/>
        <v>40.003999999999998</v>
      </c>
      <c r="C71" s="4">
        <f t="shared" si="15"/>
        <v>49.088000000000001</v>
      </c>
      <c r="D71" s="4">
        <f t="shared" si="15"/>
        <v>41.072000000000003</v>
      </c>
      <c r="E71" s="4">
        <f t="shared" si="15"/>
        <v>47.982000000000006</v>
      </c>
      <c r="F71" s="4">
        <f t="shared" si="15"/>
        <v>31.251999999999999</v>
      </c>
      <c r="G71" s="4">
        <f t="shared" si="15"/>
        <v>38.866</v>
      </c>
    </row>
    <row r="72" spans="1:7" x14ac:dyDescent="0.3">
      <c r="A72" s="7" t="s">
        <v>6</v>
      </c>
      <c r="B72" s="4">
        <f t="shared" si="15"/>
        <v>35.540000000000006</v>
      </c>
      <c r="C72" s="4">
        <f t="shared" si="15"/>
        <v>46.026000000000003</v>
      </c>
      <c r="D72" s="4">
        <f t="shared" si="15"/>
        <v>36.622</v>
      </c>
      <c r="E72" s="4">
        <f t="shared" si="15"/>
        <v>45.35</v>
      </c>
      <c r="F72" s="4">
        <f t="shared" si="15"/>
        <v>27</v>
      </c>
      <c r="G72" s="4">
        <f t="shared" si="15"/>
        <v>36.341999999999999</v>
      </c>
    </row>
    <row r="73" spans="1:7" x14ac:dyDescent="0.3">
      <c r="A73" s="7" t="s">
        <v>7</v>
      </c>
      <c r="B73" s="4">
        <f t="shared" ref="B73:G73" si="16">AVERAGE(C14,C15,C38,C39,C57)</f>
        <v>43.405999999999999</v>
      </c>
      <c r="C73" s="4">
        <f t="shared" si="16"/>
        <v>52.36</v>
      </c>
      <c r="D73" s="4">
        <f t="shared" si="16"/>
        <v>41.160000000000004</v>
      </c>
      <c r="E73" s="4">
        <f t="shared" si="16"/>
        <v>48.874000000000002</v>
      </c>
      <c r="F73" s="4">
        <f t="shared" si="16"/>
        <v>30.992000000000001</v>
      </c>
      <c r="G73" s="4">
        <f t="shared" si="16"/>
        <v>39.422000000000004</v>
      </c>
    </row>
    <row r="74" spans="1:7" x14ac:dyDescent="0.3">
      <c r="A74" s="7" t="s">
        <v>8</v>
      </c>
      <c r="B74" s="4">
        <f t="shared" ref="B74:G74" si="17">AVERAGE(C16,C17,C40,C41,C58)</f>
        <v>33.736000000000004</v>
      </c>
      <c r="C74" s="4">
        <f t="shared" si="17"/>
        <v>44.076000000000008</v>
      </c>
      <c r="D74" s="4">
        <f t="shared" si="17"/>
        <v>32.327999999999996</v>
      </c>
      <c r="E74" s="4">
        <f t="shared" si="17"/>
        <v>41.169999999999995</v>
      </c>
      <c r="F74" s="4">
        <f t="shared" si="17"/>
        <v>22.532</v>
      </c>
      <c r="G74" s="4">
        <f t="shared" si="17"/>
        <v>32.088000000000001</v>
      </c>
    </row>
    <row r="75" spans="1:7" x14ac:dyDescent="0.3">
      <c r="A75" s="7" t="s">
        <v>9</v>
      </c>
      <c r="B75" s="4">
        <f t="shared" ref="B75:G75" si="18">AVERAGE(C18,C19,C42,C43,C59)</f>
        <v>37.323999999999998</v>
      </c>
      <c r="C75" s="4">
        <f t="shared" si="18"/>
        <v>46.513999999999996</v>
      </c>
      <c r="D75" s="4">
        <f t="shared" si="18"/>
        <v>37.025999999999996</v>
      </c>
      <c r="E75" s="4">
        <f t="shared" si="18"/>
        <v>43.923999999999992</v>
      </c>
      <c r="F75" s="4">
        <f t="shared" si="18"/>
        <v>26.827999999999996</v>
      </c>
      <c r="G75" s="4">
        <f t="shared" si="18"/>
        <v>34.603999999999999</v>
      </c>
    </row>
    <row r="76" spans="1:7" x14ac:dyDescent="0.3">
      <c r="A76" s="4"/>
      <c r="C76" s="4"/>
      <c r="D76" s="4"/>
    </row>
    <row r="77" spans="1:7" x14ac:dyDescent="0.3">
      <c r="A77" s="6"/>
      <c r="B77" s="4"/>
      <c r="C77" s="4"/>
      <c r="D77" s="4"/>
    </row>
    <row r="78" spans="1:7" x14ac:dyDescent="0.3">
      <c r="A78" s="16" t="s">
        <v>44</v>
      </c>
      <c r="B78" s="6">
        <f>AVERAGE(C2:C21,C26:C45,C50:C59)</f>
        <v>37.813800000000001</v>
      </c>
      <c r="C78" s="6">
        <f t="shared" ref="C78:G78" si="19">AVERAGE(D2:D21,D26:D45,D50:D59)</f>
        <v>47.522799999999997</v>
      </c>
      <c r="D78" s="6">
        <f t="shared" si="19"/>
        <v>38.012400000000007</v>
      </c>
      <c r="E78" s="6">
        <f t="shared" si="19"/>
        <v>45.796599999999998</v>
      </c>
      <c r="F78" s="6">
        <f t="shared" si="19"/>
        <v>27.993600000000015</v>
      </c>
      <c r="G78" s="6">
        <f t="shared" si="19"/>
        <v>36.453600000000002</v>
      </c>
    </row>
    <row r="79" spans="1:7" x14ac:dyDescent="0.3">
      <c r="A79" s="6"/>
      <c r="B79" s="4"/>
      <c r="C79" s="4"/>
      <c r="D79" s="4"/>
    </row>
    <row r="80" spans="1:7" x14ac:dyDescent="0.3">
      <c r="A80" s="4"/>
      <c r="B80" s="4"/>
      <c r="C80" s="4"/>
      <c r="D80" s="4"/>
    </row>
    <row r="81" spans="1:6" x14ac:dyDescent="0.3">
      <c r="A81" s="6"/>
      <c r="B81" s="4"/>
      <c r="C81" s="4"/>
      <c r="D81" s="4"/>
    </row>
    <row r="82" spans="1:6" x14ac:dyDescent="0.3">
      <c r="A82" s="4"/>
      <c r="B82" s="4"/>
      <c r="C82" s="4"/>
      <c r="D82" s="4"/>
    </row>
    <row r="83" spans="1:6" x14ac:dyDescent="0.3">
      <c r="A83" s="6"/>
      <c r="B83" s="4"/>
      <c r="C83" s="4"/>
      <c r="D83" s="4"/>
      <c r="E83" s="18"/>
      <c r="F83" s="18"/>
    </row>
    <row r="84" spans="1:6" x14ac:dyDescent="0.3">
      <c r="A84" s="4"/>
      <c r="B84" s="4"/>
      <c r="C84" s="4"/>
      <c r="D84" s="4"/>
      <c r="E84" s="18"/>
      <c r="F84" s="18"/>
    </row>
    <row r="85" spans="1:6" x14ac:dyDescent="0.3">
      <c r="A85" s="15"/>
      <c r="B85" s="4"/>
      <c r="C85" s="4"/>
      <c r="D85" s="4"/>
      <c r="E85" s="18"/>
      <c r="F85" s="18"/>
    </row>
    <row r="86" spans="1:6" x14ac:dyDescent="0.3">
      <c r="A86" s="4"/>
      <c r="B86" s="4"/>
      <c r="C86" s="4"/>
      <c r="D86" s="4"/>
    </row>
    <row r="87" spans="1:6" x14ac:dyDescent="0.3">
      <c r="A87" s="15"/>
      <c r="B87" s="4"/>
      <c r="C87" s="4"/>
      <c r="D87" s="4"/>
    </row>
    <row r="88" spans="1:6" x14ac:dyDescent="0.3">
      <c r="A88" s="4"/>
      <c r="B88" s="4"/>
      <c r="C88" s="4"/>
      <c r="D88" s="4"/>
    </row>
    <row r="89" spans="1:6" x14ac:dyDescent="0.3">
      <c r="A89" s="15"/>
      <c r="B89" s="4"/>
      <c r="C89" s="4"/>
      <c r="D89" s="4"/>
    </row>
    <row r="90" spans="1:6" x14ac:dyDescent="0.3">
      <c r="A90" s="4"/>
      <c r="B90" s="4"/>
      <c r="C90" s="4"/>
      <c r="D90" s="4"/>
    </row>
    <row r="91" spans="1:6" x14ac:dyDescent="0.3">
      <c r="A91" s="15"/>
      <c r="B91" s="4"/>
      <c r="C91" s="4"/>
      <c r="D91" s="4"/>
    </row>
    <row r="92" spans="1:6" x14ac:dyDescent="0.3">
      <c r="A92" s="4"/>
      <c r="B92" s="4"/>
      <c r="C92" s="4"/>
      <c r="D92" s="4"/>
    </row>
    <row r="93" spans="1:6" x14ac:dyDescent="0.3">
      <c r="A93" s="15"/>
      <c r="B93" s="4"/>
      <c r="C93" s="4"/>
      <c r="D93" s="4"/>
    </row>
    <row r="94" spans="1:6" x14ac:dyDescent="0.3">
      <c r="A94" s="4"/>
      <c r="B94" s="4"/>
      <c r="C94" s="4"/>
      <c r="D94" s="4"/>
    </row>
    <row r="95" spans="1:6" x14ac:dyDescent="0.3">
      <c r="A95" s="4"/>
      <c r="B95" s="6"/>
      <c r="C95" s="6"/>
      <c r="D95" s="6"/>
    </row>
    <row r="96" spans="1:6" x14ac:dyDescent="0.3">
      <c r="A96" s="4"/>
      <c r="B96" s="6"/>
      <c r="C96" s="6"/>
      <c r="D96" s="6"/>
    </row>
    <row r="97" spans="1:4" x14ac:dyDescent="0.3">
      <c r="A97" s="4"/>
      <c r="B97" s="6"/>
      <c r="C97" s="6"/>
      <c r="D97" s="6"/>
    </row>
    <row r="98" spans="1:4" x14ac:dyDescent="0.3">
      <c r="A98" s="4"/>
      <c r="B98" s="4"/>
      <c r="C98" s="4"/>
      <c r="D98" s="4"/>
    </row>
    <row r="99" spans="1:4" x14ac:dyDescent="0.3">
      <c r="A99" s="6"/>
      <c r="B99" s="6"/>
      <c r="C99" s="6"/>
      <c r="D99" s="6"/>
    </row>
    <row r="100" spans="1:4" x14ac:dyDescent="0.3">
      <c r="A100" s="6"/>
      <c r="B100" s="4"/>
      <c r="C100" s="4"/>
      <c r="D100" s="4"/>
    </row>
    <row r="101" spans="1:4" x14ac:dyDescent="0.3">
      <c r="A101" s="4"/>
      <c r="B101" s="4"/>
      <c r="C101" s="4"/>
      <c r="D101" s="4"/>
    </row>
    <row r="102" spans="1:4" x14ac:dyDescent="0.3">
      <c r="A102" s="6"/>
      <c r="B102" s="4"/>
      <c r="C102" s="4"/>
      <c r="D102" s="4"/>
    </row>
    <row r="103" spans="1:4" x14ac:dyDescent="0.3">
      <c r="A103" s="4"/>
      <c r="B103" s="4"/>
      <c r="C103" s="4"/>
      <c r="D103" s="4"/>
    </row>
    <row r="104" spans="1:4" x14ac:dyDescent="0.3">
      <c r="A104" s="6"/>
      <c r="B104" s="4"/>
      <c r="C104" s="4"/>
      <c r="D104" s="4"/>
    </row>
    <row r="105" spans="1:4" x14ac:dyDescent="0.3">
      <c r="A105" s="4"/>
      <c r="B105" s="4"/>
      <c r="C105" s="4"/>
      <c r="D105" s="4"/>
    </row>
    <row r="106" spans="1:4" x14ac:dyDescent="0.3">
      <c r="A106" s="6"/>
      <c r="B106" s="4"/>
      <c r="C106" s="4"/>
      <c r="D106" s="4"/>
    </row>
    <row r="107" spans="1:4" x14ac:dyDescent="0.3">
      <c r="A107" s="4"/>
      <c r="B107" s="4"/>
      <c r="C107" s="4"/>
      <c r="D107" s="4"/>
    </row>
    <row r="108" spans="1:4" x14ac:dyDescent="0.3">
      <c r="A108" s="6"/>
      <c r="B108" s="4"/>
      <c r="C108" s="4"/>
      <c r="D108" s="4"/>
    </row>
    <row r="109" spans="1:4" x14ac:dyDescent="0.3">
      <c r="A109" s="4"/>
      <c r="B109" s="4"/>
      <c r="C109" s="4"/>
      <c r="D109" s="4"/>
    </row>
    <row r="110" spans="1:4" x14ac:dyDescent="0.3">
      <c r="A110" s="15"/>
      <c r="B110" s="4"/>
      <c r="C110" s="4"/>
      <c r="D110" s="4"/>
    </row>
    <row r="111" spans="1:4" x14ac:dyDescent="0.3">
      <c r="A111" s="4"/>
      <c r="B111" s="4"/>
      <c r="C111" s="4"/>
      <c r="D111" s="4"/>
    </row>
    <row r="112" spans="1:4" x14ac:dyDescent="0.3">
      <c r="A112" s="15"/>
      <c r="B112" s="4"/>
      <c r="C112" s="4"/>
      <c r="D112" s="4"/>
    </row>
    <row r="113" spans="1:4" x14ac:dyDescent="0.3">
      <c r="A113" s="4"/>
      <c r="B113" s="4"/>
      <c r="C113" s="4"/>
      <c r="D113" s="4"/>
    </row>
    <row r="114" spans="1:4" x14ac:dyDescent="0.3">
      <c r="A114" s="15"/>
      <c r="B114" s="4"/>
      <c r="C114" s="4"/>
      <c r="D114" s="4"/>
    </row>
    <row r="115" spans="1:4" x14ac:dyDescent="0.3">
      <c r="A115" s="4"/>
      <c r="B115" s="4"/>
      <c r="C115" s="4"/>
      <c r="D115" s="4"/>
    </row>
    <row r="116" spans="1:4" x14ac:dyDescent="0.3">
      <c r="A116" s="15"/>
      <c r="B116" s="4"/>
      <c r="C116" s="4"/>
      <c r="D116" s="4"/>
    </row>
    <row r="117" spans="1:4" x14ac:dyDescent="0.3">
      <c r="A117" s="4"/>
      <c r="B117" s="4"/>
      <c r="C117" s="4"/>
      <c r="D117" s="4"/>
    </row>
    <row r="118" spans="1:4" x14ac:dyDescent="0.3">
      <c r="A118" s="15"/>
      <c r="B118" s="4"/>
      <c r="C118" s="4"/>
      <c r="D118" s="4"/>
    </row>
    <row r="119" spans="1:4" x14ac:dyDescent="0.3">
      <c r="A119" s="4"/>
      <c r="B119" s="4"/>
      <c r="C119" s="4"/>
      <c r="D119" s="4"/>
    </row>
    <row r="120" spans="1:4" x14ac:dyDescent="0.3">
      <c r="A120" s="4"/>
      <c r="B120" s="6"/>
      <c r="C120" s="6"/>
      <c r="D120" s="6"/>
    </row>
    <row r="121" spans="1:4" x14ac:dyDescent="0.3">
      <c r="A121" s="4"/>
      <c r="B121" s="6"/>
      <c r="C121" s="6"/>
      <c r="D121" s="6"/>
    </row>
    <row r="122" spans="1:4" x14ac:dyDescent="0.3">
      <c r="A122" s="4"/>
      <c r="B122" s="6"/>
      <c r="C122" s="6"/>
      <c r="D122" s="6"/>
    </row>
    <row r="123" spans="1:4" x14ac:dyDescent="0.3">
      <c r="A123" s="6"/>
      <c r="B123" s="4"/>
      <c r="C123" s="4"/>
      <c r="D123" s="4"/>
    </row>
    <row r="124" spans="1:4" x14ac:dyDescent="0.3">
      <c r="A124" s="6"/>
      <c r="B124" s="4"/>
      <c r="C124" s="4"/>
      <c r="D124" s="4"/>
    </row>
    <row r="125" spans="1:4" x14ac:dyDescent="0.3">
      <c r="A125" s="6"/>
      <c r="B125" s="6"/>
      <c r="C125" s="6"/>
      <c r="D125" s="6"/>
    </row>
    <row r="126" spans="1:4" x14ac:dyDescent="0.3">
      <c r="A126" s="6"/>
      <c r="B126" s="4"/>
      <c r="C126" s="4"/>
      <c r="D126" s="4"/>
    </row>
    <row r="127" spans="1:4" x14ac:dyDescent="0.3">
      <c r="A127" s="4"/>
      <c r="B127" s="4"/>
      <c r="C127" s="4"/>
      <c r="D127" s="4"/>
    </row>
    <row r="128" spans="1:4" x14ac:dyDescent="0.3">
      <c r="A128" s="6"/>
      <c r="B128" s="4"/>
      <c r="C128" s="4"/>
      <c r="D128" s="4"/>
    </row>
    <row r="129" spans="1:4" x14ac:dyDescent="0.3">
      <c r="A129" s="4"/>
      <c r="B129" s="4"/>
      <c r="C129" s="4"/>
      <c r="D129" s="4"/>
    </row>
    <row r="130" spans="1:4" x14ac:dyDescent="0.3">
      <c r="A130" s="6"/>
      <c r="B130" s="4"/>
      <c r="C130" s="4"/>
      <c r="D130" s="4"/>
    </row>
    <row r="131" spans="1:4" x14ac:dyDescent="0.3">
      <c r="A131" s="4"/>
      <c r="B131" s="4"/>
      <c r="C131" s="4"/>
      <c r="D131" s="4"/>
    </row>
    <row r="132" spans="1:4" x14ac:dyDescent="0.3">
      <c r="A132" s="6"/>
      <c r="B132" s="4"/>
      <c r="C132" s="4"/>
      <c r="D132" s="4"/>
    </row>
    <row r="133" spans="1:4" x14ac:dyDescent="0.3">
      <c r="A133" s="4"/>
      <c r="B133" s="4"/>
      <c r="C133" s="4"/>
      <c r="D133" s="4"/>
    </row>
    <row r="134" spans="1:4" x14ac:dyDescent="0.3">
      <c r="A134" s="6"/>
      <c r="B134" s="4"/>
      <c r="C134" s="4"/>
      <c r="D134" s="4"/>
    </row>
    <row r="135" spans="1:4" x14ac:dyDescent="0.3">
      <c r="A135" s="4"/>
      <c r="B135" s="4"/>
      <c r="C135" s="4"/>
      <c r="D135" s="4"/>
    </row>
    <row r="136" spans="1:4" x14ac:dyDescent="0.3">
      <c r="A136" s="15"/>
      <c r="B136" s="4"/>
      <c r="C136" s="4"/>
      <c r="D136" s="4"/>
    </row>
    <row r="137" spans="1:4" x14ac:dyDescent="0.3">
      <c r="A137" s="4"/>
      <c r="B137" s="4"/>
      <c r="C137" s="4"/>
      <c r="D137" s="4"/>
    </row>
    <row r="138" spans="1:4" x14ac:dyDescent="0.3">
      <c r="A138" s="15"/>
      <c r="B138" s="4"/>
      <c r="C138" s="4"/>
      <c r="D138" s="4"/>
    </row>
    <row r="139" spans="1:4" x14ac:dyDescent="0.3">
      <c r="A139" s="4"/>
      <c r="B139" s="4"/>
      <c r="C139" s="4"/>
      <c r="D139" s="4"/>
    </row>
    <row r="140" spans="1:4" x14ac:dyDescent="0.3">
      <c r="A140" s="15"/>
      <c r="B140" s="4"/>
      <c r="C140" s="4"/>
      <c r="D140" s="4"/>
    </row>
    <row r="141" spans="1:4" x14ac:dyDescent="0.3">
      <c r="A141" s="4"/>
      <c r="B141" s="4"/>
      <c r="C141" s="4"/>
      <c r="D141" s="4"/>
    </row>
    <row r="142" spans="1:4" x14ac:dyDescent="0.3">
      <c r="A142" s="15"/>
      <c r="B142" s="4"/>
      <c r="C142" s="4"/>
      <c r="D142" s="4"/>
    </row>
    <row r="143" spans="1:4" x14ac:dyDescent="0.3">
      <c r="A143" s="4"/>
      <c r="B143" s="4"/>
      <c r="C143" s="4"/>
      <c r="D143" s="4"/>
    </row>
    <row r="144" spans="1:4" x14ac:dyDescent="0.3">
      <c r="A144" s="15"/>
      <c r="B144" s="4"/>
      <c r="C144" s="4"/>
      <c r="D144" s="4"/>
    </row>
    <row r="145" spans="1:4" x14ac:dyDescent="0.3">
      <c r="A145" s="4"/>
      <c r="B145" s="4"/>
      <c r="C145" s="4"/>
      <c r="D145" s="4"/>
    </row>
    <row r="146" spans="1:4" x14ac:dyDescent="0.3">
      <c r="A146" s="4"/>
      <c r="B146" s="6"/>
      <c r="C146" s="6"/>
      <c r="D146" s="6"/>
    </row>
    <row r="147" spans="1:4" x14ac:dyDescent="0.3">
      <c r="A147" s="4"/>
      <c r="B147" s="6"/>
      <c r="C147" s="6"/>
      <c r="D147" s="6"/>
    </row>
    <row r="148" spans="1:4" x14ac:dyDescent="0.3">
      <c r="A148" s="4"/>
      <c r="B148" s="6"/>
      <c r="C148" s="6"/>
      <c r="D148" s="6"/>
    </row>
  </sheetData>
  <pageMargins left="0.7" right="0.7" top="0.75" bottom="0.75" header="0.3" footer="0.3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7C8D-FC82-4AE2-94F6-457DB1C8B62E}">
  <dimension ref="A1:H148"/>
  <sheetViews>
    <sheetView topLeftCell="B1" zoomScale="85" zoomScaleNormal="85" workbookViewId="0">
      <selection activeCell="C44" sqref="C44"/>
    </sheetView>
  </sheetViews>
  <sheetFormatPr defaultRowHeight="14.4" x14ac:dyDescent="0.3"/>
  <cols>
    <col min="1" max="1" width="35.6640625" customWidth="1"/>
    <col min="2" max="2" width="44.5546875" customWidth="1"/>
    <col min="3" max="3" width="50.6640625" customWidth="1"/>
    <col min="4" max="4" width="43.109375" customWidth="1"/>
    <col min="5" max="5" width="22.88671875" customWidth="1"/>
    <col min="6" max="6" width="22.77734375" customWidth="1"/>
    <col min="7" max="7" width="20" customWidth="1"/>
    <col min="8" max="8" width="17" customWidth="1"/>
  </cols>
  <sheetData>
    <row r="1" spans="1:8" ht="15.6" x14ac:dyDescent="0.3">
      <c r="A1" s="12" t="s">
        <v>11</v>
      </c>
      <c r="B1" s="12" t="s">
        <v>13</v>
      </c>
      <c r="C1" s="12" t="s">
        <v>32</v>
      </c>
      <c r="D1" s="12" t="s">
        <v>33</v>
      </c>
      <c r="E1" s="12" t="s">
        <v>40</v>
      </c>
      <c r="F1" s="12" t="s">
        <v>41</v>
      </c>
      <c r="G1" s="12" t="s">
        <v>42</v>
      </c>
      <c r="H1" s="12" t="s">
        <v>43</v>
      </c>
    </row>
    <row r="2" spans="1:8" x14ac:dyDescent="0.3">
      <c r="A2" s="2" t="s">
        <v>0</v>
      </c>
      <c r="B2" s="1" t="s">
        <v>10</v>
      </c>
      <c r="C2" s="1">
        <v>38.386553999999997</v>
      </c>
      <c r="D2" s="1">
        <v>50.774419000000002</v>
      </c>
      <c r="E2" s="1">
        <v>21.772852</v>
      </c>
      <c r="F2" s="1">
        <v>32.069664000000003</v>
      </c>
      <c r="G2" s="1">
        <v>11.28294</v>
      </c>
      <c r="H2" s="1">
        <v>21.559124000000001</v>
      </c>
    </row>
    <row r="3" spans="1:8" x14ac:dyDescent="0.3">
      <c r="A3" s="1"/>
      <c r="B3" s="1" t="s">
        <v>12</v>
      </c>
      <c r="C3" s="1">
        <v>49.360968</v>
      </c>
      <c r="D3" s="1">
        <v>57.798386999999998</v>
      </c>
      <c r="E3" s="1">
        <v>31.562911</v>
      </c>
      <c r="F3" s="1">
        <v>38.108899000000001</v>
      </c>
      <c r="G3" s="1">
        <v>20.523710000000001</v>
      </c>
      <c r="H3" s="1">
        <v>26.952884000000001</v>
      </c>
    </row>
    <row r="4" spans="1:8" x14ac:dyDescent="0.3">
      <c r="A4" s="2" t="s">
        <v>1</v>
      </c>
      <c r="B4" s="1" t="s">
        <v>10</v>
      </c>
      <c r="C4" s="1">
        <v>33.150910000000003</v>
      </c>
      <c r="D4" s="1">
        <v>45.536042999999999</v>
      </c>
      <c r="E4" s="1">
        <v>19.104865</v>
      </c>
      <c r="F4" s="1">
        <v>28.903601999999999</v>
      </c>
      <c r="G4" s="1">
        <v>8.6496189999999995</v>
      </c>
      <c r="H4" s="1">
        <v>18.642084000000001</v>
      </c>
    </row>
    <row r="5" spans="1:8" x14ac:dyDescent="0.3">
      <c r="A5" s="1"/>
      <c r="B5" s="1" t="s">
        <v>12</v>
      </c>
      <c r="C5" s="1">
        <v>43.648586999999999</v>
      </c>
      <c r="D5" s="1">
        <v>52.517266999999997</v>
      </c>
      <c r="E5" s="1">
        <v>28.554303999999998</v>
      </c>
      <c r="F5" s="1">
        <v>35.109262000000001</v>
      </c>
      <c r="G5" s="1">
        <v>17.691890999999998</v>
      </c>
      <c r="H5" s="1">
        <v>24.265350999999999</v>
      </c>
    </row>
    <row r="6" spans="1:8" x14ac:dyDescent="0.3">
      <c r="A6" s="2" t="s">
        <v>2</v>
      </c>
      <c r="B6" s="1" t="s">
        <v>10</v>
      </c>
      <c r="C6" s="1">
        <v>44.314146000000001</v>
      </c>
      <c r="D6" s="1">
        <v>54.954721999999997</v>
      </c>
      <c r="E6" s="1">
        <v>28.280192</v>
      </c>
      <c r="F6" s="1">
        <v>36.497525000000003</v>
      </c>
      <c r="G6" s="1">
        <v>17.561177000000001</v>
      </c>
      <c r="H6" s="1">
        <v>25.674648999999999</v>
      </c>
    </row>
    <row r="7" spans="1:8" x14ac:dyDescent="0.3">
      <c r="A7" s="1"/>
      <c r="B7" s="1" t="s">
        <v>12</v>
      </c>
      <c r="C7" s="1">
        <v>55.753145000000004</v>
      </c>
      <c r="D7" s="1">
        <v>62.192765000000001</v>
      </c>
      <c r="E7" s="1">
        <v>37.929304999999999</v>
      </c>
      <c r="F7" s="1">
        <v>42.31279</v>
      </c>
      <c r="G7" s="1">
        <v>26.620691999999998</v>
      </c>
      <c r="H7" s="1">
        <v>30.853573000000001</v>
      </c>
    </row>
    <row r="8" spans="1:8" x14ac:dyDescent="0.3">
      <c r="A8" s="2" t="s">
        <v>3</v>
      </c>
      <c r="B8" s="1" t="s">
        <v>10</v>
      </c>
      <c r="C8" s="1">
        <v>45.571050999999997</v>
      </c>
      <c r="D8" s="1">
        <v>55.637099999999997</v>
      </c>
      <c r="E8" s="1">
        <v>28.275884000000001</v>
      </c>
      <c r="F8" s="1">
        <v>36.508065999999999</v>
      </c>
      <c r="G8" s="1">
        <v>17.286301000000002</v>
      </c>
      <c r="H8" s="1">
        <v>25.495739</v>
      </c>
    </row>
    <row r="9" spans="1:8" x14ac:dyDescent="0.3">
      <c r="A9" s="1"/>
      <c r="B9" s="1" t="s">
        <v>12</v>
      </c>
      <c r="C9" s="1">
        <v>54.998536999999999</v>
      </c>
      <c r="D9" s="1">
        <v>61.513339000000002</v>
      </c>
      <c r="E9" s="1">
        <v>36.362689000000003</v>
      </c>
      <c r="F9" s="1">
        <v>41.337628000000002</v>
      </c>
      <c r="G9" s="1">
        <v>24.921064000000001</v>
      </c>
      <c r="H9" s="1">
        <v>29.798694999999999</v>
      </c>
    </row>
    <row r="10" spans="1:8" x14ac:dyDescent="0.3">
      <c r="A10" s="2" t="s">
        <v>4</v>
      </c>
      <c r="B10" s="1" t="s">
        <v>10</v>
      </c>
      <c r="C10" s="1">
        <v>48.805776000000002</v>
      </c>
      <c r="D10" s="1">
        <v>58.052335999999997</v>
      </c>
      <c r="E10" s="1">
        <v>31.294322999999999</v>
      </c>
      <c r="F10" s="1">
        <v>38.429326000000003</v>
      </c>
      <c r="G10" s="1">
        <v>20.302254999999999</v>
      </c>
      <c r="H10" s="1">
        <v>27.361982000000001</v>
      </c>
    </row>
    <row r="11" spans="1:8" x14ac:dyDescent="0.3">
      <c r="A11" s="1"/>
      <c r="B11" s="1" t="s">
        <v>12</v>
      </c>
      <c r="C11" s="1">
        <v>58.232205999999998</v>
      </c>
      <c r="D11" s="1">
        <v>63.777205000000002</v>
      </c>
      <c r="E11" s="1">
        <v>39.182198</v>
      </c>
      <c r="F11" s="1">
        <v>43.016592000000003</v>
      </c>
      <c r="G11" s="1">
        <v>27.715790999999999</v>
      </c>
      <c r="H11" s="1">
        <v>31.438108</v>
      </c>
    </row>
    <row r="12" spans="1:8" x14ac:dyDescent="0.3">
      <c r="A12" s="7" t="s">
        <v>5</v>
      </c>
      <c r="B12" s="1" t="s">
        <v>10</v>
      </c>
      <c r="C12" s="1">
        <v>37.886916999999997</v>
      </c>
      <c r="D12" s="1">
        <v>49.964623000000003</v>
      </c>
      <c r="E12" s="1">
        <v>23.063033999999998</v>
      </c>
      <c r="F12" s="1">
        <v>32.629311999999999</v>
      </c>
      <c r="G12" s="1">
        <v>13.074763000000001</v>
      </c>
      <c r="H12" s="1">
        <v>22.541421</v>
      </c>
    </row>
    <row r="13" spans="1:8" x14ac:dyDescent="0.3">
      <c r="A13" s="1"/>
      <c r="B13" s="1" t="s">
        <v>12</v>
      </c>
      <c r="C13" s="1">
        <v>48.124491999999996</v>
      </c>
      <c r="D13" s="1">
        <v>56.546982999999997</v>
      </c>
      <c r="E13" s="1">
        <v>31.920812999999999</v>
      </c>
      <c r="F13" s="1">
        <v>38.155067000000003</v>
      </c>
      <c r="G13" s="1">
        <v>21.394604000000001</v>
      </c>
      <c r="H13" s="1">
        <v>27.413322999999998</v>
      </c>
    </row>
    <row r="14" spans="1:8" x14ac:dyDescent="0.3">
      <c r="A14" s="7" t="s">
        <v>6</v>
      </c>
      <c r="B14" s="1" t="s">
        <v>10</v>
      </c>
      <c r="C14" s="1">
        <v>46.584918000000002</v>
      </c>
      <c r="D14" s="1">
        <v>56.730474999999998</v>
      </c>
      <c r="E14" s="1">
        <v>28.853307999999998</v>
      </c>
      <c r="F14" s="1">
        <v>37.353102999999997</v>
      </c>
      <c r="G14" s="1">
        <v>18.041513999999999</v>
      </c>
      <c r="H14" s="1">
        <v>26.482745999999999</v>
      </c>
    </row>
    <row r="15" spans="1:8" x14ac:dyDescent="0.3">
      <c r="A15" s="1"/>
      <c r="B15" s="1" t="s">
        <v>12</v>
      </c>
      <c r="C15" s="1">
        <v>55.674439999999997</v>
      </c>
      <c r="D15" s="1">
        <v>62.080480000000001</v>
      </c>
      <c r="E15" s="1">
        <v>36.920310000000001</v>
      </c>
      <c r="F15" s="1">
        <v>41.822581999999997</v>
      </c>
      <c r="G15" s="1">
        <v>25.757677000000001</v>
      </c>
      <c r="H15" s="1">
        <v>30.519852</v>
      </c>
    </row>
    <row r="16" spans="1:8" x14ac:dyDescent="0.3">
      <c r="A16" s="7" t="s">
        <v>7</v>
      </c>
      <c r="B16" s="1" t="s">
        <v>10</v>
      </c>
      <c r="C16" s="1">
        <v>34.985033999999999</v>
      </c>
      <c r="D16" s="1">
        <v>48.426476000000001</v>
      </c>
      <c r="E16" s="1">
        <v>18.281103000000002</v>
      </c>
      <c r="F16" s="1">
        <v>29.881965999999998</v>
      </c>
      <c r="G16" s="1">
        <v>8.0876739999999998</v>
      </c>
      <c r="H16" s="1">
        <v>19.694355999999999</v>
      </c>
    </row>
    <row r="17" spans="1:8" x14ac:dyDescent="0.3">
      <c r="A17" s="1"/>
      <c r="B17" s="1" t="s">
        <v>12</v>
      </c>
      <c r="C17" s="1">
        <v>46.383091999999998</v>
      </c>
      <c r="D17" s="1">
        <v>55.825915999999999</v>
      </c>
      <c r="E17" s="1">
        <v>28.782259</v>
      </c>
      <c r="F17" s="1">
        <v>36.462054000000002</v>
      </c>
      <c r="G17" s="1">
        <v>18.101185000000001</v>
      </c>
      <c r="H17" s="1">
        <v>25.605266</v>
      </c>
    </row>
    <row r="18" spans="1:8" x14ac:dyDescent="0.3">
      <c r="A18" s="7" t="s">
        <v>8</v>
      </c>
      <c r="B18" s="1" t="s">
        <v>10</v>
      </c>
      <c r="C18" s="1">
        <v>38.754553000000001</v>
      </c>
      <c r="D18" s="1">
        <v>51.236840000000001</v>
      </c>
      <c r="E18" s="1">
        <v>22.171623</v>
      </c>
      <c r="F18" s="1">
        <v>32.554622000000002</v>
      </c>
      <c r="G18" s="1">
        <v>11.787697</v>
      </c>
      <c r="H18" s="1">
        <v>22.132223</v>
      </c>
    </row>
    <row r="19" spans="1:8" x14ac:dyDescent="0.3">
      <c r="A19" s="1"/>
      <c r="B19" s="1" t="s">
        <v>12</v>
      </c>
      <c r="C19" s="1">
        <v>49.471376999999997</v>
      </c>
      <c r="D19" s="1">
        <v>58.178080999999999</v>
      </c>
      <c r="E19" s="1">
        <v>31.497530999999999</v>
      </c>
      <c r="F19" s="1">
        <v>38.316493999999999</v>
      </c>
      <c r="G19" s="1">
        <v>20.514828999999999</v>
      </c>
      <c r="H19" s="1">
        <v>27.179766000000001</v>
      </c>
    </row>
    <row r="20" spans="1:8" x14ac:dyDescent="0.3">
      <c r="A20" s="7" t="s">
        <v>9</v>
      </c>
      <c r="B20" s="1" t="s">
        <v>10</v>
      </c>
      <c r="C20" s="1">
        <v>34.451661000000001</v>
      </c>
      <c r="D20" s="1">
        <v>46.779594000000003</v>
      </c>
      <c r="E20" s="1">
        <v>21.281003999999999</v>
      </c>
      <c r="F20" s="1">
        <v>30.854433</v>
      </c>
      <c r="G20" s="1">
        <v>11.570332000000001</v>
      </c>
      <c r="H20" s="1">
        <v>21.251660000000001</v>
      </c>
    </row>
    <row r="21" spans="1:8" x14ac:dyDescent="0.3">
      <c r="A21" s="1"/>
      <c r="B21" s="1" t="s">
        <v>12</v>
      </c>
      <c r="C21" s="1">
        <v>44.389462000000002</v>
      </c>
      <c r="D21" s="1">
        <v>53.457196000000003</v>
      </c>
      <c r="E21" s="1">
        <v>29.669943</v>
      </c>
      <c r="F21" s="1">
        <v>36.458153000000003</v>
      </c>
      <c r="G21" s="1">
        <v>19.557205</v>
      </c>
      <c r="H21" s="1">
        <v>26.222929000000001</v>
      </c>
    </row>
    <row r="22" spans="1:8" x14ac:dyDescent="0.3">
      <c r="A22" s="1"/>
      <c r="B22" s="13" t="s">
        <v>25</v>
      </c>
      <c r="C22" s="2">
        <f>AVERAGE(C2:C21)</f>
        <v>45.446391300000002</v>
      </c>
      <c r="D22" s="2">
        <f>AVERAGE(D2:D21)</f>
        <v>55.099012349999995</v>
      </c>
      <c r="E22" s="2">
        <f>AVERAGE(E2:E21)</f>
        <v>28.738022550000004</v>
      </c>
      <c r="F22" s="2">
        <f>AVERAGE(F2:F21)</f>
        <v>36.339057000000004</v>
      </c>
      <c r="G22" s="2">
        <f t="shared" ref="G22:H22" si="0">AVERAGE(G2:G21)</f>
        <v>18.022145999999999</v>
      </c>
      <c r="H22" s="2">
        <f t="shared" si="0"/>
        <v>25.554286550000008</v>
      </c>
    </row>
    <row r="23" spans="1:8" x14ac:dyDescent="0.3">
      <c r="A23" s="1"/>
      <c r="B23" s="13" t="s">
        <v>27</v>
      </c>
      <c r="C23" s="2">
        <f t="shared" ref="C23:F24" si="1">AVERAGE(C2,C4,C6,C8,C10,C12,C14,C16,C18,C20)</f>
        <v>40.289152000000001</v>
      </c>
      <c r="D23" s="2">
        <f t="shared" si="1"/>
        <v>51.809262799999999</v>
      </c>
      <c r="E23" s="2">
        <f t="shared" si="1"/>
        <v>24.237818799999999</v>
      </c>
      <c r="F23" s="2">
        <f t="shared" si="1"/>
        <v>33.568161899999993</v>
      </c>
      <c r="G23" s="2">
        <f t="shared" ref="G23:H24" si="2">AVERAGE(G2,G4,G6,G8,G10,G12,G14,G16,G18,G20)</f>
        <v>13.764427199999997</v>
      </c>
      <c r="H23" s="2">
        <f t="shared" si="2"/>
        <v>23.0835984</v>
      </c>
    </row>
    <row r="24" spans="1:8" x14ac:dyDescent="0.3">
      <c r="A24" s="1"/>
      <c r="B24" s="13" t="s">
        <v>28</v>
      </c>
      <c r="C24" s="2">
        <f t="shared" si="1"/>
        <v>50.603630599999995</v>
      </c>
      <c r="D24" s="2">
        <f t="shared" si="1"/>
        <v>58.388761899999999</v>
      </c>
      <c r="E24" s="2">
        <f t="shared" si="1"/>
        <v>33.238226299999994</v>
      </c>
      <c r="F24" s="2">
        <f t="shared" si="1"/>
        <v>39.109952100000001</v>
      </c>
      <c r="G24" s="2">
        <f t="shared" si="2"/>
        <v>22.279864799999999</v>
      </c>
      <c r="H24" s="2">
        <f t="shared" si="2"/>
        <v>28.024974700000001</v>
      </c>
    </row>
    <row r="25" spans="1:8" ht="15.6" x14ac:dyDescent="0.3">
      <c r="B25" s="12" t="s">
        <v>13</v>
      </c>
      <c r="C25" s="12" t="s">
        <v>32</v>
      </c>
      <c r="D25" s="12" t="s">
        <v>33</v>
      </c>
      <c r="E25" s="12" t="s">
        <v>40</v>
      </c>
      <c r="F25" s="12" t="s">
        <v>41</v>
      </c>
      <c r="G25" s="12" t="s">
        <v>42</v>
      </c>
      <c r="H25" s="12" t="s">
        <v>43</v>
      </c>
    </row>
    <row r="26" spans="1:8" x14ac:dyDescent="0.3">
      <c r="A26" s="2" t="s">
        <v>0</v>
      </c>
      <c r="B26" s="1" t="s">
        <v>14</v>
      </c>
      <c r="C26" s="1">
        <v>64.467859000000004</v>
      </c>
      <c r="D26" s="1">
        <v>65.939663999999993</v>
      </c>
      <c r="E26" s="1">
        <v>43.197915000000002</v>
      </c>
      <c r="F26" s="1">
        <v>44.317155999999997</v>
      </c>
      <c r="G26" s="1">
        <v>31.455041999999999</v>
      </c>
      <c r="H26" s="1">
        <v>32.608499000000002</v>
      </c>
    </row>
    <row r="27" spans="1:8" x14ac:dyDescent="0.3">
      <c r="A27" s="1"/>
      <c r="B27" s="1" t="s">
        <v>15</v>
      </c>
      <c r="C27" s="1">
        <v>67.346884000000003</v>
      </c>
      <c r="D27" s="1">
        <v>68.300437000000002</v>
      </c>
      <c r="E27" s="1">
        <v>45.246308999999997</v>
      </c>
      <c r="F27" s="1">
        <v>45.959823999999998</v>
      </c>
      <c r="G27" s="1">
        <v>33.303814000000003</v>
      </c>
      <c r="H27" s="1">
        <v>34.038575999999999</v>
      </c>
    </row>
    <row r="28" spans="1:8" x14ac:dyDescent="0.3">
      <c r="A28" s="2" t="s">
        <v>1</v>
      </c>
      <c r="B28" s="1" t="s">
        <v>14</v>
      </c>
      <c r="C28" s="1">
        <v>57.467013000000001</v>
      </c>
      <c r="D28" s="1">
        <v>59.478755999999997</v>
      </c>
      <c r="E28" s="1">
        <v>39.925418000000001</v>
      </c>
      <c r="F28" s="1">
        <v>41.177174999999998</v>
      </c>
      <c r="G28" s="1">
        <v>28.483532</v>
      </c>
      <c r="H28" s="1">
        <v>29.862313</v>
      </c>
    </row>
    <row r="29" spans="1:8" x14ac:dyDescent="0.3">
      <c r="A29" s="1"/>
      <c r="B29" s="1" t="s">
        <v>15</v>
      </c>
      <c r="C29" s="1">
        <v>61.517231000000002</v>
      </c>
      <c r="D29" s="1">
        <v>62.778086000000002</v>
      </c>
      <c r="E29" s="1">
        <v>42.467086000000002</v>
      </c>
      <c r="F29" s="1">
        <v>43.273499999999999</v>
      </c>
      <c r="G29" s="1">
        <v>30.768587</v>
      </c>
      <c r="H29" s="1">
        <v>31.659511999999999</v>
      </c>
    </row>
    <row r="30" spans="1:8" x14ac:dyDescent="0.3">
      <c r="A30" s="2" t="s">
        <v>2</v>
      </c>
      <c r="B30" s="1" t="s">
        <v>14</v>
      </c>
      <c r="C30" s="1">
        <v>67.061919000000003</v>
      </c>
      <c r="D30" s="1">
        <v>68.266355000000004</v>
      </c>
      <c r="E30" s="1">
        <v>46.095657000000003</v>
      </c>
      <c r="F30" s="1">
        <v>46.823093999999998</v>
      </c>
      <c r="G30" s="1">
        <v>34.172285000000002</v>
      </c>
      <c r="H30" s="1">
        <v>34.905341</v>
      </c>
    </row>
    <row r="31" spans="1:8" x14ac:dyDescent="0.3">
      <c r="A31" s="1"/>
      <c r="B31" s="1" t="s">
        <v>15</v>
      </c>
      <c r="C31" s="1">
        <v>69.398476000000002</v>
      </c>
      <c r="D31" s="1">
        <v>70.092489999999998</v>
      </c>
      <c r="E31" s="1">
        <v>47.496513</v>
      </c>
      <c r="F31" s="1">
        <v>47.874679999999998</v>
      </c>
      <c r="G31" s="1">
        <v>35.397376999999999</v>
      </c>
      <c r="H31" s="1">
        <v>35.789811999999998</v>
      </c>
    </row>
    <row r="32" spans="1:8" x14ac:dyDescent="0.3">
      <c r="A32" s="2" t="s">
        <v>3</v>
      </c>
      <c r="B32" s="1" t="s">
        <v>14</v>
      </c>
      <c r="C32" s="1">
        <v>66.412582</v>
      </c>
      <c r="D32" s="1">
        <v>67.471536999999998</v>
      </c>
      <c r="E32" s="1">
        <v>44.913606000000001</v>
      </c>
      <c r="F32" s="1">
        <v>45.792518000000001</v>
      </c>
      <c r="G32" s="1">
        <v>32.937370999999999</v>
      </c>
      <c r="H32" s="1">
        <v>33.842927000000003</v>
      </c>
    </row>
    <row r="33" spans="1:8" x14ac:dyDescent="0.3">
      <c r="A33" s="1"/>
      <c r="B33" s="1" t="s">
        <v>15</v>
      </c>
      <c r="C33" s="1">
        <v>68.708089999999999</v>
      </c>
      <c r="D33" s="1">
        <v>69.321038999999999</v>
      </c>
      <c r="E33" s="1">
        <v>46.480798999999998</v>
      </c>
      <c r="F33" s="1">
        <v>47.015725000000003</v>
      </c>
      <c r="G33" s="1">
        <v>34.366577999999997</v>
      </c>
      <c r="H33" s="1">
        <v>34.918335999999996</v>
      </c>
    </row>
    <row r="34" spans="1:8" x14ac:dyDescent="0.3">
      <c r="A34" s="2" t="s">
        <v>4</v>
      </c>
      <c r="B34" s="1" t="s">
        <v>14</v>
      </c>
      <c r="C34" s="1">
        <v>67.741412999999994</v>
      </c>
      <c r="D34" s="1">
        <v>68.751492999999996</v>
      </c>
      <c r="E34" s="1">
        <v>46.100726000000002</v>
      </c>
      <c r="F34" s="1">
        <v>46.733525999999998</v>
      </c>
      <c r="G34" s="1">
        <v>34.129638</v>
      </c>
      <c r="H34" s="1">
        <v>34.785606000000001</v>
      </c>
    </row>
    <row r="35" spans="1:8" x14ac:dyDescent="0.3">
      <c r="A35" s="1"/>
      <c r="B35" s="1" t="s">
        <v>15</v>
      </c>
      <c r="C35" s="1">
        <v>69.752189000000001</v>
      </c>
      <c r="D35" s="1">
        <v>70.346602000000004</v>
      </c>
      <c r="E35" s="1">
        <v>47.328643</v>
      </c>
      <c r="F35" s="1">
        <v>47.692100000000003</v>
      </c>
      <c r="G35" s="1">
        <v>35.213214999999998</v>
      </c>
      <c r="H35" s="1">
        <v>35.593522999999998</v>
      </c>
    </row>
    <row r="36" spans="1:8" x14ac:dyDescent="0.3">
      <c r="A36" s="7" t="s">
        <v>5</v>
      </c>
      <c r="B36" s="1" t="s">
        <v>14</v>
      </c>
      <c r="C36" s="1">
        <v>62.824443000000002</v>
      </c>
      <c r="D36" s="1">
        <v>64.368326999999994</v>
      </c>
      <c r="E36" s="1">
        <v>43.012121999999998</v>
      </c>
      <c r="F36" s="1">
        <v>44.118600000000001</v>
      </c>
      <c r="G36" s="1">
        <v>31.618556000000002</v>
      </c>
      <c r="H36" s="1">
        <v>32.748747000000002</v>
      </c>
    </row>
    <row r="37" spans="1:8" x14ac:dyDescent="0.3">
      <c r="A37" s="1"/>
      <c r="B37" s="1" t="s">
        <v>15</v>
      </c>
      <c r="C37" s="1">
        <v>65.928228000000004</v>
      </c>
      <c r="D37" s="1">
        <v>66.907509000000005</v>
      </c>
      <c r="E37" s="1">
        <v>44.993232999999996</v>
      </c>
      <c r="F37" s="1">
        <v>45.696756000000001</v>
      </c>
      <c r="G37" s="1">
        <v>33.325966000000001</v>
      </c>
      <c r="H37" s="1">
        <v>34.052329999999998</v>
      </c>
    </row>
    <row r="38" spans="1:8" x14ac:dyDescent="0.3">
      <c r="A38" s="7" t="s">
        <v>6</v>
      </c>
      <c r="B38" s="1" t="s">
        <v>14</v>
      </c>
      <c r="C38" s="1">
        <v>66.625540999999998</v>
      </c>
      <c r="D38" s="1">
        <v>67.785296000000002</v>
      </c>
      <c r="E38" s="1">
        <v>45.162962</v>
      </c>
      <c r="F38" s="1">
        <v>46.051904</v>
      </c>
      <c r="G38" s="1">
        <v>33.404091000000001</v>
      </c>
      <c r="H38" s="1">
        <v>34.311093999999997</v>
      </c>
    </row>
    <row r="39" spans="1:8" x14ac:dyDescent="0.3">
      <c r="A39" s="1"/>
      <c r="B39" s="1" t="s">
        <v>15</v>
      </c>
      <c r="C39" s="1">
        <v>68.837919999999997</v>
      </c>
      <c r="D39" s="1">
        <v>69.572776000000005</v>
      </c>
      <c r="E39" s="1">
        <v>46.607168999999999</v>
      </c>
      <c r="F39" s="1">
        <v>47.163874999999997</v>
      </c>
      <c r="G39" s="1">
        <v>34.674743999999997</v>
      </c>
      <c r="H39" s="1">
        <v>35.238526999999998</v>
      </c>
    </row>
    <row r="40" spans="1:8" x14ac:dyDescent="0.3">
      <c r="A40" s="7" t="s">
        <v>7</v>
      </c>
      <c r="B40" s="1" t="s">
        <v>14</v>
      </c>
      <c r="C40" s="1">
        <v>63.491190000000003</v>
      </c>
      <c r="D40" s="1">
        <v>65.119445999999996</v>
      </c>
      <c r="E40" s="1">
        <v>42.499203000000001</v>
      </c>
      <c r="F40" s="1">
        <v>43.805633999999998</v>
      </c>
      <c r="G40" s="1">
        <v>30.974622</v>
      </c>
      <c r="H40" s="1">
        <v>32.312787999999998</v>
      </c>
    </row>
    <row r="41" spans="1:8" x14ac:dyDescent="0.3">
      <c r="A41" s="1"/>
      <c r="B41" s="1" t="s">
        <v>15</v>
      </c>
      <c r="C41" s="1">
        <v>66.831063999999998</v>
      </c>
      <c r="D41" s="1">
        <v>67.853009999999998</v>
      </c>
      <c r="E41" s="1">
        <v>44.930352999999997</v>
      </c>
      <c r="F41" s="1">
        <v>45.727865999999999</v>
      </c>
      <c r="G41" s="1">
        <v>33.138424999999998</v>
      </c>
      <c r="H41" s="1">
        <v>33.942886000000001</v>
      </c>
    </row>
    <row r="42" spans="1:8" x14ac:dyDescent="0.3">
      <c r="A42" s="7" t="s">
        <v>8</v>
      </c>
      <c r="B42" s="1" t="s">
        <v>14</v>
      </c>
      <c r="C42" s="1">
        <v>64.267343999999994</v>
      </c>
      <c r="D42" s="1">
        <v>65.771452999999994</v>
      </c>
      <c r="E42" s="1">
        <v>42.717272999999999</v>
      </c>
      <c r="F42" s="1">
        <v>43.926043999999997</v>
      </c>
      <c r="G42" s="1">
        <v>30.977632</v>
      </c>
      <c r="H42" s="1">
        <v>32.220702000000003</v>
      </c>
    </row>
    <row r="43" spans="1:8" x14ac:dyDescent="0.3">
      <c r="A43" s="1"/>
      <c r="B43" s="1" t="s">
        <v>15</v>
      </c>
      <c r="C43" s="1">
        <v>66.958427999999998</v>
      </c>
      <c r="D43" s="1">
        <v>67.951575000000005</v>
      </c>
      <c r="E43" s="1">
        <v>44.666586000000002</v>
      </c>
      <c r="F43" s="1">
        <v>45.463712000000001</v>
      </c>
      <c r="G43" s="1">
        <v>32.735469000000002</v>
      </c>
      <c r="H43" s="1">
        <v>33.551194000000002</v>
      </c>
    </row>
    <row r="44" spans="1:8" x14ac:dyDescent="0.3">
      <c r="A44" s="7" t="s">
        <v>9</v>
      </c>
      <c r="B44" s="1" t="s">
        <v>14</v>
      </c>
      <c r="C44" s="1">
        <v>59.59225</v>
      </c>
      <c r="D44" s="1">
        <v>61.302384000000004</v>
      </c>
      <c r="E44" s="1">
        <v>40.945363</v>
      </c>
      <c r="F44" s="1">
        <v>42.209463</v>
      </c>
      <c r="G44" s="1">
        <v>29.941728000000001</v>
      </c>
      <c r="H44" s="1">
        <v>31.292413</v>
      </c>
    </row>
    <row r="45" spans="1:8" x14ac:dyDescent="0.3">
      <c r="B45" s="1" t="s">
        <v>15</v>
      </c>
      <c r="C45" s="1">
        <v>63.197372000000001</v>
      </c>
      <c r="D45" s="1">
        <v>64.307810000000003</v>
      </c>
      <c r="E45" s="1">
        <v>43.119588999999998</v>
      </c>
      <c r="F45" s="1">
        <v>43.957788999999998</v>
      </c>
      <c r="G45" s="1">
        <v>31.830399</v>
      </c>
      <c r="H45" s="1">
        <v>32.718966000000002</v>
      </c>
    </row>
    <row r="46" spans="1:8" x14ac:dyDescent="0.3">
      <c r="B46" s="13" t="s">
        <v>25</v>
      </c>
      <c r="C46" s="2">
        <f>AVERAGE(C26:C45)</f>
        <v>65.421371800000003</v>
      </c>
      <c r="D46" s="2">
        <f>AVERAGE(D26:D45)</f>
        <v>66.584302250000007</v>
      </c>
      <c r="E46" s="2">
        <f>AVERAGE(E26:E45)</f>
        <v>44.395326249999997</v>
      </c>
      <c r="F46" s="2">
        <f>AVERAGE(F26:F45)</f>
        <v>45.239047050000003</v>
      </c>
      <c r="G46" s="2">
        <f t="shared" ref="G46:H46" si="3">AVERAGE(G26:G45)</f>
        <v>32.642453549999992</v>
      </c>
      <c r="H46" s="2">
        <f t="shared" si="3"/>
        <v>33.519704599999997</v>
      </c>
    </row>
    <row r="47" spans="1:8" x14ac:dyDescent="0.3">
      <c r="B47" s="13" t="s">
        <v>27</v>
      </c>
      <c r="C47" s="2">
        <f t="shared" ref="C47:F48" si="4">AVERAGE(C26,C28,C30,C32,C34,C36,C38,C40,C42,C44)</f>
        <v>63.995155400000002</v>
      </c>
      <c r="D47" s="2">
        <f t="shared" si="4"/>
        <v>65.425471099999996</v>
      </c>
      <c r="E47" s="2">
        <f t="shared" si="4"/>
        <v>43.457024500000003</v>
      </c>
      <c r="F47" s="2">
        <f t="shared" si="4"/>
        <v>44.495511399999998</v>
      </c>
      <c r="G47" s="2">
        <f t="shared" ref="G47:H48" si="5">AVERAGE(G26,G28,G30,G32,G34,G36,G38,G40,G42,G44)</f>
        <v>31.809449700000005</v>
      </c>
      <c r="H47" s="2">
        <f t="shared" si="5"/>
        <v>32.889043000000001</v>
      </c>
    </row>
    <row r="48" spans="1:8" x14ac:dyDescent="0.3">
      <c r="B48" s="13" t="s">
        <v>28</v>
      </c>
      <c r="C48" s="2">
        <f t="shared" si="4"/>
        <v>66.84758819999999</v>
      </c>
      <c r="D48" s="2">
        <f t="shared" si="4"/>
        <v>67.743133400000005</v>
      </c>
      <c r="E48" s="2">
        <f t="shared" si="4"/>
        <v>45.33362799999999</v>
      </c>
      <c r="F48" s="2">
        <f t="shared" si="4"/>
        <v>45.982582700000002</v>
      </c>
      <c r="G48" s="2">
        <f t="shared" si="5"/>
        <v>33.475457399999996</v>
      </c>
      <c r="H48" s="2">
        <f t="shared" si="5"/>
        <v>34.150366200000001</v>
      </c>
    </row>
    <row r="49" spans="1:8" ht="15.6" x14ac:dyDescent="0.3">
      <c r="B49" s="12" t="s">
        <v>13</v>
      </c>
      <c r="C49" s="12" t="s">
        <v>32</v>
      </c>
      <c r="D49" s="12" t="s">
        <v>33</v>
      </c>
      <c r="E49" s="12" t="s">
        <v>40</v>
      </c>
      <c r="F49" s="12" t="s">
        <v>41</v>
      </c>
      <c r="G49" s="12" t="s">
        <v>42</v>
      </c>
      <c r="H49" s="12" t="s">
        <v>43</v>
      </c>
    </row>
    <row r="50" spans="1:8" x14ac:dyDescent="0.3">
      <c r="A50" s="2" t="s">
        <v>0</v>
      </c>
      <c r="B50" s="1" t="s">
        <v>16</v>
      </c>
      <c r="C50" s="17">
        <v>4.3168090000000001</v>
      </c>
      <c r="D50" s="17">
        <v>36.737473999999999</v>
      </c>
      <c r="E50" s="17">
        <v>-0.90009799999999995</v>
      </c>
      <c r="F50" s="17">
        <v>23.532021</v>
      </c>
      <c r="G50" s="17">
        <v>-7.7746959999999996</v>
      </c>
      <c r="H50" s="17">
        <v>15.836798999999999</v>
      </c>
    </row>
    <row r="51" spans="1:8" x14ac:dyDescent="0.3">
      <c r="A51" s="2" t="s">
        <v>1</v>
      </c>
      <c r="B51" s="1" t="s">
        <v>16</v>
      </c>
      <c r="C51" s="17">
        <v>-0.36587900000000001</v>
      </c>
      <c r="D51" s="17">
        <v>30.166971</v>
      </c>
      <c r="E51" s="17">
        <v>-2.5778080000000001</v>
      </c>
      <c r="F51" s="17">
        <v>19.454892000000001</v>
      </c>
      <c r="G51" s="17">
        <v>-9.6576249999999995</v>
      </c>
      <c r="H51" s="17">
        <v>12.217352999999999</v>
      </c>
    </row>
    <row r="52" spans="1:8" x14ac:dyDescent="0.3">
      <c r="A52" s="2" t="s">
        <v>2</v>
      </c>
      <c r="B52" s="1" t="s">
        <v>16</v>
      </c>
      <c r="C52" s="17">
        <v>7.4150099999999997</v>
      </c>
      <c r="D52" s="17">
        <v>38.493912999999999</v>
      </c>
      <c r="E52" s="17">
        <v>5.8938480000000002</v>
      </c>
      <c r="F52" s="17">
        <v>27.568863</v>
      </c>
      <c r="G52" s="17">
        <v>-0.704183</v>
      </c>
      <c r="H52" s="17">
        <v>19.794280000000001</v>
      </c>
    </row>
    <row r="53" spans="1:8" x14ac:dyDescent="0.3">
      <c r="A53" s="2" t="s">
        <v>3</v>
      </c>
      <c r="B53" s="1" t="s">
        <v>16</v>
      </c>
      <c r="C53" s="17">
        <v>11.833911000000001</v>
      </c>
      <c r="D53" s="17">
        <v>42.577435999999999</v>
      </c>
      <c r="E53" s="17">
        <v>6.3451029999999999</v>
      </c>
      <c r="F53" s="17">
        <v>28.791146999999999</v>
      </c>
      <c r="G53" s="17">
        <v>-1.6574</v>
      </c>
      <c r="H53" s="17">
        <v>20.124161000000001</v>
      </c>
    </row>
    <row r="54" spans="1:8" x14ac:dyDescent="0.3">
      <c r="A54" s="2" t="s">
        <v>4</v>
      </c>
      <c r="B54" s="1" t="s">
        <v>16</v>
      </c>
      <c r="C54" s="17">
        <v>12.77284</v>
      </c>
      <c r="D54" s="17">
        <v>44.021732999999998</v>
      </c>
      <c r="E54" s="17">
        <v>8.8260170000000002</v>
      </c>
      <c r="F54" s="17">
        <v>30.712743</v>
      </c>
      <c r="G54" s="17">
        <v>1.3278239999999999</v>
      </c>
      <c r="H54" s="17">
        <v>22.201837999999999</v>
      </c>
    </row>
    <row r="55" spans="1:8" x14ac:dyDescent="0.3">
      <c r="A55" s="7" t="s">
        <v>5</v>
      </c>
      <c r="B55" s="1" t="s">
        <v>16</v>
      </c>
      <c r="C55" s="17">
        <v>4.437875</v>
      </c>
      <c r="D55" s="17">
        <v>35.041195000000002</v>
      </c>
      <c r="E55" s="17">
        <v>2.5564390000000001</v>
      </c>
      <c r="F55" s="17">
        <v>24.058105999999999</v>
      </c>
      <c r="G55" s="17">
        <v>-3.6132610000000001</v>
      </c>
      <c r="H55" s="17">
        <v>17.080418000000002</v>
      </c>
    </row>
    <row r="56" spans="1:8" x14ac:dyDescent="0.3">
      <c r="A56" s="7" t="s">
        <v>6</v>
      </c>
      <c r="B56" s="1" t="s">
        <v>16</v>
      </c>
      <c r="C56" s="17">
        <v>10.691162</v>
      </c>
      <c r="D56" s="17">
        <v>42.340862999999999</v>
      </c>
      <c r="E56" s="17">
        <v>3.9348209999999999</v>
      </c>
      <c r="F56" s="17">
        <v>28.392512</v>
      </c>
      <c r="G56" s="17">
        <v>-4.4003800000000002</v>
      </c>
      <c r="H56" s="17">
        <v>19.514202999999998</v>
      </c>
    </row>
    <row r="57" spans="1:8" x14ac:dyDescent="0.3">
      <c r="A57" s="7" t="s">
        <v>7</v>
      </c>
      <c r="B57" s="1" t="s">
        <v>16</v>
      </c>
      <c r="C57" s="17">
        <v>2.6531639999999999</v>
      </c>
      <c r="D57" s="17">
        <v>34.58831</v>
      </c>
      <c r="E57" s="17">
        <v>-3.354724</v>
      </c>
      <c r="F57" s="17">
        <v>21.799975</v>
      </c>
      <c r="G57" s="17">
        <v>-9.5680150000000008</v>
      </c>
      <c r="H57" s="17">
        <v>14.879358999999999</v>
      </c>
    </row>
    <row r="58" spans="1:8" x14ac:dyDescent="0.3">
      <c r="A58" s="7" t="s">
        <v>8</v>
      </c>
      <c r="B58" s="1" t="s">
        <v>16</v>
      </c>
      <c r="C58" s="17">
        <v>2.4307310000000002</v>
      </c>
      <c r="D58" s="17">
        <v>35.042841000000003</v>
      </c>
      <c r="E58" s="17">
        <v>-3.1250399999999998</v>
      </c>
      <c r="F58" s="17">
        <v>21.687687</v>
      </c>
      <c r="G58" s="17">
        <v>-10.040926000000001</v>
      </c>
      <c r="H58" s="17">
        <v>14.196161</v>
      </c>
    </row>
    <row r="59" spans="1:8" x14ac:dyDescent="0.3">
      <c r="A59" s="7" t="s">
        <v>9</v>
      </c>
      <c r="B59" s="1" t="s">
        <v>16</v>
      </c>
      <c r="C59" s="17">
        <v>3.9434200000000001</v>
      </c>
      <c r="D59" s="17">
        <v>32.133707000000001</v>
      </c>
      <c r="E59" s="17">
        <v>2.4160759999999999</v>
      </c>
      <c r="F59" s="17">
        <v>21.348948</v>
      </c>
      <c r="G59" s="17">
        <v>-5.3566399999999996</v>
      </c>
      <c r="H59" s="17">
        <v>14.019545000000001</v>
      </c>
    </row>
    <row r="60" spans="1:8" x14ac:dyDescent="0.3">
      <c r="A60" s="4"/>
      <c r="B60" s="13" t="s">
        <v>25</v>
      </c>
      <c r="C60" s="2">
        <f>AVERAGE(C50:C59)</f>
        <v>6.0129043000000006</v>
      </c>
      <c r="D60" s="2">
        <f t="shared" ref="D60:H60" si="6">AVERAGE(D50:D59)</f>
        <v>37.114444300000002</v>
      </c>
      <c r="E60" s="2">
        <f t="shared" si="6"/>
        <v>2.0014634</v>
      </c>
      <c r="F60" s="2">
        <f t="shared" si="6"/>
        <v>24.734689400000001</v>
      </c>
      <c r="G60" s="2">
        <f t="shared" si="6"/>
        <v>-5.1445302000000002</v>
      </c>
      <c r="H60" s="2">
        <f t="shared" si="6"/>
        <v>16.986411699999998</v>
      </c>
    </row>
    <row r="61" spans="1:8" x14ac:dyDescent="0.3">
      <c r="A61" s="15"/>
      <c r="B61" s="4"/>
      <c r="C61" s="4"/>
      <c r="D61" s="4"/>
    </row>
    <row r="62" spans="1:8" x14ac:dyDescent="0.3">
      <c r="A62" s="4"/>
      <c r="B62" s="5" t="s">
        <v>55</v>
      </c>
      <c r="C62" s="6">
        <f>AVERAGE(C2:C21,C26:C45,C50:C59)</f>
        <v>45.54968610000001</v>
      </c>
      <c r="D62" s="6">
        <f t="shared" ref="D62:H62" si="7">AVERAGE(D2:D21,D26:D45,D50:D59)</f>
        <v>56.096214699999983</v>
      </c>
      <c r="E62" s="6">
        <f t="shared" si="7"/>
        <v>29.653632200000008</v>
      </c>
      <c r="F62" s="6">
        <f t="shared" si="7"/>
        <v>37.578179499999997</v>
      </c>
      <c r="G62" s="6">
        <f t="shared" si="7"/>
        <v>19.236933780000001</v>
      </c>
      <c r="H62" s="6">
        <f t="shared" si="7"/>
        <v>27.026878799999999</v>
      </c>
    </row>
    <row r="63" spans="1:8" x14ac:dyDescent="0.3">
      <c r="A63" s="15"/>
      <c r="B63" s="4"/>
      <c r="C63" s="4"/>
      <c r="D63" s="4"/>
    </row>
    <row r="64" spans="1:8" x14ac:dyDescent="0.3">
      <c r="A64" s="4"/>
      <c r="B64" s="4"/>
      <c r="C64" s="4"/>
      <c r="D64" s="4"/>
    </row>
    <row r="65" spans="1:7" ht="15.6" x14ac:dyDescent="0.3">
      <c r="A65" s="15"/>
      <c r="B65" s="12" t="s">
        <v>32</v>
      </c>
      <c r="C65" s="12" t="s">
        <v>33</v>
      </c>
      <c r="D65" s="12" t="s">
        <v>40</v>
      </c>
      <c r="E65" s="12" t="s">
        <v>41</v>
      </c>
      <c r="F65" s="12" t="s">
        <v>42</v>
      </c>
      <c r="G65" s="12" t="s">
        <v>43</v>
      </c>
    </row>
    <row r="66" spans="1:7" x14ac:dyDescent="0.3">
      <c r="A66" s="2" t="s">
        <v>0</v>
      </c>
      <c r="B66" s="4">
        <f t="shared" ref="B66:G66" si="8">AVERAGE(C2,C3,C26,C27,C50)</f>
        <v>44.775814800000006</v>
      </c>
      <c r="C66" s="4">
        <f t="shared" si="8"/>
        <v>55.910076200000006</v>
      </c>
      <c r="D66" s="4">
        <f t="shared" si="8"/>
        <v>28.175977799999998</v>
      </c>
      <c r="E66" s="4">
        <f t="shared" si="8"/>
        <v>36.797512799999993</v>
      </c>
      <c r="F66" s="4">
        <f t="shared" si="8"/>
        <v>17.758161999999999</v>
      </c>
      <c r="G66" s="4">
        <f t="shared" si="8"/>
        <v>26.199176399999999</v>
      </c>
    </row>
    <row r="67" spans="1:7" x14ac:dyDescent="0.3">
      <c r="A67" s="2" t="s">
        <v>1</v>
      </c>
      <c r="B67" s="4">
        <f t="shared" ref="B67:G67" si="9">AVERAGE(C4,C5,C28,C29,C51)</f>
        <v>39.083572400000001</v>
      </c>
      <c r="C67" s="4">
        <f t="shared" si="9"/>
        <v>50.095424599999994</v>
      </c>
      <c r="D67" s="4">
        <f t="shared" si="9"/>
        <v>25.494772999999999</v>
      </c>
      <c r="E67" s="4">
        <f t="shared" si="9"/>
        <v>33.583686200000002</v>
      </c>
      <c r="F67" s="4">
        <f t="shared" si="9"/>
        <v>15.187200799999999</v>
      </c>
      <c r="G67" s="4">
        <f t="shared" si="9"/>
        <v>23.329322600000001</v>
      </c>
    </row>
    <row r="68" spans="1:7" x14ac:dyDescent="0.3">
      <c r="A68" s="2" t="s">
        <v>2</v>
      </c>
      <c r="B68" s="4">
        <f t="shared" ref="B68:G68" si="10">AVERAGE(C6,C7,C30,C31,C52)</f>
        <v>48.788539200000002</v>
      </c>
      <c r="C68" s="4">
        <f t="shared" si="10"/>
        <v>58.800049000000001</v>
      </c>
      <c r="D68" s="4">
        <f t="shared" si="10"/>
        <v>33.139102999999999</v>
      </c>
      <c r="E68" s="4">
        <f t="shared" si="10"/>
        <v>40.215390399999997</v>
      </c>
      <c r="F68" s="4">
        <f t="shared" si="10"/>
        <v>22.609469600000001</v>
      </c>
      <c r="G68" s="4">
        <f t="shared" si="10"/>
        <v>29.403530999999997</v>
      </c>
    </row>
    <row r="69" spans="1:7" x14ac:dyDescent="0.3">
      <c r="A69" s="2" t="s">
        <v>3</v>
      </c>
      <c r="B69" s="4">
        <f t="shared" ref="B69:G69" si="11">AVERAGE(C8,C9,C32,C33,C53)</f>
        <v>49.504834199999998</v>
      </c>
      <c r="C69" s="4">
        <f t="shared" si="11"/>
        <v>59.304090199999997</v>
      </c>
      <c r="D69" s="4">
        <f t="shared" si="11"/>
        <v>32.475616200000005</v>
      </c>
      <c r="E69" s="4">
        <f t="shared" si="11"/>
        <v>39.8890168</v>
      </c>
      <c r="F69" s="4">
        <f t="shared" si="11"/>
        <v>21.5707828</v>
      </c>
      <c r="G69" s="4">
        <f t="shared" si="11"/>
        <v>28.835971600000001</v>
      </c>
    </row>
    <row r="70" spans="1:7" x14ac:dyDescent="0.3">
      <c r="A70" s="2" t="s">
        <v>4</v>
      </c>
      <c r="B70" s="4">
        <f t="shared" ref="B70:G72" si="12">AVERAGE(C10,C11,C34,C35,C54)</f>
        <v>51.460884799999995</v>
      </c>
      <c r="C70" s="4">
        <f t="shared" si="12"/>
        <v>60.989873799999998</v>
      </c>
      <c r="D70" s="4">
        <f t="shared" si="12"/>
        <v>34.546381400000001</v>
      </c>
      <c r="E70" s="4">
        <f t="shared" si="12"/>
        <v>41.316857399999996</v>
      </c>
      <c r="F70" s="4">
        <f t="shared" si="12"/>
        <v>23.737744599999999</v>
      </c>
      <c r="G70" s="4">
        <f t="shared" si="12"/>
        <v>30.276211400000001</v>
      </c>
    </row>
    <row r="71" spans="1:7" x14ac:dyDescent="0.3">
      <c r="A71" s="7" t="s">
        <v>5</v>
      </c>
      <c r="B71" s="4">
        <f t="shared" si="12"/>
        <v>46.626725999999998</v>
      </c>
      <c r="C71" s="4">
        <f t="shared" si="12"/>
        <v>56.699590399999998</v>
      </c>
      <c r="D71" s="4">
        <f t="shared" si="12"/>
        <v>31.028487200000001</v>
      </c>
      <c r="E71" s="4">
        <f t="shared" si="12"/>
        <v>38.302942000000009</v>
      </c>
      <c r="F71" s="4">
        <f t="shared" si="12"/>
        <v>20.8018128</v>
      </c>
      <c r="G71" s="4">
        <f t="shared" si="12"/>
        <v>27.880443400000001</v>
      </c>
    </row>
    <row r="72" spans="1:7" x14ac:dyDescent="0.3">
      <c r="A72" s="7" t="s">
        <v>6</v>
      </c>
      <c r="B72" s="4">
        <f t="shared" si="12"/>
        <v>45.091048399999991</v>
      </c>
      <c r="C72" s="4">
        <f t="shared" si="12"/>
        <v>56.025660999999999</v>
      </c>
      <c r="D72" s="4">
        <f t="shared" si="12"/>
        <v>29.384804600000002</v>
      </c>
      <c r="E72" s="4">
        <f t="shared" si="12"/>
        <v>37.798449400000003</v>
      </c>
      <c r="F72" s="4">
        <f t="shared" si="12"/>
        <v>19.002701800000004</v>
      </c>
      <c r="G72" s="4">
        <f t="shared" si="12"/>
        <v>27.254004800000001</v>
      </c>
    </row>
    <row r="73" spans="1:7" x14ac:dyDescent="0.3">
      <c r="A73" s="7" t="s">
        <v>7</v>
      </c>
      <c r="B73" s="4">
        <f t="shared" ref="B73:G73" si="13">AVERAGE(C14,C15,C38,C39,C57)</f>
        <v>48.075196599999998</v>
      </c>
      <c r="C73" s="4">
        <f t="shared" si="13"/>
        <v>58.151467400000001</v>
      </c>
      <c r="D73" s="4">
        <f t="shared" si="13"/>
        <v>30.837804999999996</v>
      </c>
      <c r="E73" s="4">
        <f t="shared" si="13"/>
        <v>38.838287799999996</v>
      </c>
      <c r="F73" s="4">
        <f t="shared" si="13"/>
        <v>20.462002200000001</v>
      </c>
      <c r="G73" s="4">
        <f t="shared" si="13"/>
        <v>28.286315600000002</v>
      </c>
    </row>
    <row r="74" spans="1:7" x14ac:dyDescent="0.3">
      <c r="A74" s="7" t="s">
        <v>8</v>
      </c>
      <c r="B74" s="4">
        <f t="shared" ref="B74:G74" si="14">AVERAGE(C16,C17,C40,C41,C58)</f>
        <v>42.824222199999994</v>
      </c>
      <c r="C74" s="4">
        <f t="shared" si="14"/>
        <v>54.453537800000007</v>
      </c>
      <c r="D74" s="4">
        <f t="shared" si="14"/>
        <v>26.273575599999997</v>
      </c>
      <c r="E74" s="4">
        <f t="shared" si="14"/>
        <v>35.513041400000006</v>
      </c>
      <c r="F74" s="4">
        <f t="shared" si="14"/>
        <v>16.052196000000002</v>
      </c>
      <c r="G74" s="4">
        <f t="shared" si="14"/>
        <v>25.1502914</v>
      </c>
    </row>
    <row r="75" spans="1:7" x14ac:dyDescent="0.3">
      <c r="A75" s="7" t="s">
        <v>9</v>
      </c>
      <c r="B75" s="4">
        <f t="shared" ref="B75:G75" si="15">AVERAGE(C18,C19,C42,C43,C59)</f>
        <v>44.679024399999996</v>
      </c>
      <c r="C75" s="4">
        <f t="shared" si="15"/>
        <v>55.0543312</v>
      </c>
      <c r="D75" s="4">
        <f t="shared" si="15"/>
        <v>28.693817799999998</v>
      </c>
      <c r="E75" s="4">
        <f t="shared" si="15"/>
        <v>36.321964000000001</v>
      </c>
      <c r="F75" s="4">
        <f t="shared" si="15"/>
        <v>18.1317974</v>
      </c>
      <c r="G75" s="4">
        <f t="shared" si="15"/>
        <v>25.820686000000002</v>
      </c>
    </row>
    <row r="76" spans="1:7" x14ac:dyDescent="0.3">
      <c r="A76" s="4"/>
      <c r="C76" s="4"/>
      <c r="D76" s="4"/>
    </row>
    <row r="77" spans="1:7" x14ac:dyDescent="0.3">
      <c r="A77" s="6"/>
      <c r="B77" s="4"/>
      <c r="C77" s="4"/>
      <c r="D77" s="4"/>
    </row>
    <row r="78" spans="1:7" x14ac:dyDescent="0.3">
      <c r="A78" s="16" t="s">
        <v>44</v>
      </c>
      <c r="B78" s="6">
        <f>AVERAGE(C2:C21,C26:C45,C50:C59)</f>
        <v>45.54968610000001</v>
      </c>
      <c r="C78" s="6">
        <f t="shared" ref="C78:G78" si="16">AVERAGE(D2:D21,D26:D45,D50:D59)</f>
        <v>56.096214699999983</v>
      </c>
      <c r="D78" s="6">
        <f t="shared" si="16"/>
        <v>29.653632200000008</v>
      </c>
      <c r="E78" s="6">
        <f t="shared" si="16"/>
        <v>37.578179499999997</v>
      </c>
      <c r="F78" s="6">
        <f t="shared" si="16"/>
        <v>19.236933780000001</v>
      </c>
      <c r="G78" s="6">
        <f t="shared" si="16"/>
        <v>27.026878799999999</v>
      </c>
    </row>
    <row r="79" spans="1:7" x14ac:dyDescent="0.3">
      <c r="A79" s="6"/>
      <c r="B79" s="4"/>
      <c r="C79" s="4"/>
      <c r="D79" s="4"/>
    </row>
    <row r="80" spans="1:7" x14ac:dyDescent="0.3">
      <c r="A80" s="4"/>
      <c r="B80" s="4"/>
      <c r="C80" s="4"/>
      <c r="D80" s="4"/>
    </row>
    <row r="81" spans="1:4" x14ac:dyDescent="0.3">
      <c r="A81" s="6"/>
      <c r="B81" s="4"/>
      <c r="C81" s="4"/>
      <c r="D81" s="4"/>
    </row>
    <row r="82" spans="1:4" x14ac:dyDescent="0.3">
      <c r="A82" s="4"/>
      <c r="B82" s="4"/>
      <c r="C82" s="4"/>
      <c r="D82" s="4"/>
    </row>
    <row r="83" spans="1:4" x14ac:dyDescent="0.3">
      <c r="A83" s="6"/>
      <c r="B83" s="4"/>
      <c r="C83" s="4"/>
      <c r="D83" s="4"/>
    </row>
    <row r="84" spans="1:4" x14ac:dyDescent="0.3">
      <c r="A84" s="4"/>
      <c r="B84" s="4"/>
      <c r="C84" s="4"/>
      <c r="D84" s="4"/>
    </row>
    <row r="85" spans="1:4" x14ac:dyDescent="0.3">
      <c r="A85" s="15"/>
      <c r="B85" s="4"/>
      <c r="C85" s="4"/>
      <c r="D85" s="4"/>
    </row>
    <row r="86" spans="1:4" x14ac:dyDescent="0.3">
      <c r="A86" s="4"/>
      <c r="B86" s="4"/>
      <c r="C86" s="4"/>
      <c r="D86" s="4"/>
    </row>
    <row r="87" spans="1:4" x14ac:dyDescent="0.3">
      <c r="A87" s="15"/>
      <c r="B87" s="4"/>
      <c r="C87" s="4"/>
      <c r="D87" s="4"/>
    </row>
    <row r="88" spans="1:4" x14ac:dyDescent="0.3">
      <c r="A88" s="4"/>
      <c r="B88" s="4"/>
      <c r="C88" s="4"/>
      <c r="D88" s="4"/>
    </row>
    <row r="89" spans="1:4" x14ac:dyDescent="0.3">
      <c r="A89" s="15"/>
      <c r="B89" s="4"/>
      <c r="C89" s="4"/>
      <c r="D89" s="4"/>
    </row>
    <row r="90" spans="1:4" x14ac:dyDescent="0.3">
      <c r="A90" s="4"/>
      <c r="B90" s="4"/>
      <c r="C90" s="4"/>
      <c r="D90" s="4"/>
    </row>
    <row r="91" spans="1:4" x14ac:dyDescent="0.3">
      <c r="A91" s="15"/>
      <c r="B91" s="4"/>
      <c r="C91" s="4"/>
      <c r="D91" s="4"/>
    </row>
    <row r="92" spans="1:4" x14ac:dyDescent="0.3">
      <c r="A92" s="4"/>
      <c r="B92" s="4"/>
      <c r="C92" s="4"/>
      <c r="D92" s="4"/>
    </row>
    <row r="93" spans="1:4" x14ac:dyDescent="0.3">
      <c r="A93" s="15"/>
      <c r="B93" s="4"/>
      <c r="C93" s="4"/>
      <c r="D93" s="4"/>
    </row>
    <row r="94" spans="1:4" x14ac:dyDescent="0.3">
      <c r="A94" s="4"/>
      <c r="B94" s="4"/>
      <c r="C94" s="4"/>
      <c r="D94" s="4"/>
    </row>
    <row r="95" spans="1:4" x14ac:dyDescent="0.3">
      <c r="A95" s="4"/>
      <c r="B95" s="6"/>
      <c r="C95" s="6"/>
      <c r="D95" s="6"/>
    </row>
    <row r="96" spans="1:4" x14ac:dyDescent="0.3">
      <c r="A96" s="4"/>
      <c r="B96" s="6"/>
      <c r="C96" s="6"/>
      <c r="D96" s="6"/>
    </row>
    <row r="97" spans="1:4" x14ac:dyDescent="0.3">
      <c r="A97" s="4"/>
      <c r="B97" s="6"/>
      <c r="C97" s="6"/>
      <c r="D97" s="6"/>
    </row>
    <row r="98" spans="1:4" x14ac:dyDescent="0.3">
      <c r="A98" s="4"/>
      <c r="B98" s="4"/>
      <c r="C98" s="4"/>
      <c r="D98" s="4"/>
    </row>
    <row r="99" spans="1:4" x14ac:dyDescent="0.3">
      <c r="A99" s="6"/>
      <c r="B99" s="6"/>
      <c r="C99" s="6"/>
      <c r="D99" s="6"/>
    </row>
    <row r="100" spans="1:4" x14ac:dyDescent="0.3">
      <c r="A100" s="6"/>
      <c r="B100" s="4"/>
      <c r="C100" s="4"/>
      <c r="D100" s="4"/>
    </row>
    <row r="101" spans="1:4" x14ac:dyDescent="0.3">
      <c r="A101" s="4"/>
      <c r="B101" s="4"/>
      <c r="C101" s="4"/>
      <c r="D101" s="4"/>
    </row>
    <row r="102" spans="1:4" x14ac:dyDescent="0.3">
      <c r="A102" s="6"/>
      <c r="B102" s="4"/>
      <c r="C102" s="4"/>
      <c r="D102" s="4"/>
    </row>
    <row r="103" spans="1:4" x14ac:dyDescent="0.3">
      <c r="A103" s="4"/>
      <c r="B103" s="4"/>
      <c r="C103" s="4"/>
      <c r="D103" s="4"/>
    </row>
    <row r="104" spans="1:4" x14ac:dyDescent="0.3">
      <c r="A104" s="6"/>
      <c r="B104" s="4"/>
      <c r="C104" s="4"/>
      <c r="D104" s="4"/>
    </row>
    <row r="105" spans="1:4" x14ac:dyDescent="0.3">
      <c r="A105" s="4"/>
      <c r="B105" s="4"/>
      <c r="C105" s="4"/>
      <c r="D105" s="4"/>
    </row>
    <row r="106" spans="1:4" x14ac:dyDescent="0.3">
      <c r="A106" s="6"/>
      <c r="B106" s="4"/>
      <c r="C106" s="4"/>
      <c r="D106" s="4"/>
    </row>
    <row r="107" spans="1:4" x14ac:dyDescent="0.3">
      <c r="A107" s="4"/>
      <c r="B107" s="4"/>
      <c r="C107" s="4"/>
      <c r="D107" s="4"/>
    </row>
    <row r="108" spans="1:4" x14ac:dyDescent="0.3">
      <c r="A108" s="6"/>
      <c r="B108" s="4"/>
      <c r="C108" s="4"/>
      <c r="D108" s="4"/>
    </row>
    <row r="109" spans="1:4" x14ac:dyDescent="0.3">
      <c r="A109" s="4"/>
      <c r="B109" s="4"/>
      <c r="C109" s="4"/>
      <c r="D109" s="4"/>
    </row>
    <row r="110" spans="1:4" x14ac:dyDescent="0.3">
      <c r="A110" s="15"/>
      <c r="B110" s="4"/>
      <c r="C110" s="4"/>
      <c r="D110" s="4"/>
    </row>
    <row r="111" spans="1:4" x14ac:dyDescent="0.3">
      <c r="A111" s="4"/>
      <c r="B111" s="4"/>
      <c r="C111" s="4"/>
      <c r="D111" s="4"/>
    </row>
    <row r="112" spans="1:4" x14ac:dyDescent="0.3">
      <c r="A112" s="15"/>
      <c r="B112" s="4"/>
      <c r="C112" s="4"/>
      <c r="D112" s="4"/>
    </row>
    <row r="113" spans="1:4" x14ac:dyDescent="0.3">
      <c r="A113" s="4"/>
      <c r="B113" s="4"/>
      <c r="C113" s="4"/>
      <c r="D113" s="4"/>
    </row>
    <row r="114" spans="1:4" x14ac:dyDescent="0.3">
      <c r="A114" s="15"/>
      <c r="B114" s="4"/>
      <c r="C114" s="4"/>
      <c r="D114" s="4"/>
    </row>
    <row r="115" spans="1:4" x14ac:dyDescent="0.3">
      <c r="A115" s="4"/>
      <c r="B115" s="4"/>
      <c r="C115" s="4"/>
      <c r="D115" s="4"/>
    </row>
    <row r="116" spans="1:4" x14ac:dyDescent="0.3">
      <c r="A116" s="15"/>
      <c r="B116" s="4"/>
      <c r="C116" s="4"/>
      <c r="D116" s="4"/>
    </row>
    <row r="117" spans="1:4" x14ac:dyDescent="0.3">
      <c r="A117" s="4"/>
      <c r="B117" s="4"/>
      <c r="C117" s="4"/>
      <c r="D117" s="4"/>
    </row>
    <row r="118" spans="1:4" x14ac:dyDescent="0.3">
      <c r="A118" s="15"/>
      <c r="B118" s="4"/>
      <c r="C118" s="4"/>
      <c r="D118" s="4"/>
    </row>
    <row r="119" spans="1:4" x14ac:dyDescent="0.3">
      <c r="A119" s="4"/>
      <c r="B119" s="4"/>
      <c r="C119" s="4"/>
      <c r="D119" s="4"/>
    </row>
    <row r="120" spans="1:4" x14ac:dyDescent="0.3">
      <c r="A120" s="4"/>
      <c r="B120" s="6"/>
      <c r="C120" s="6"/>
      <c r="D120" s="6"/>
    </row>
    <row r="121" spans="1:4" x14ac:dyDescent="0.3">
      <c r="A121" s="4"/>
      <c r="B121" s="6"/>
      <c r="C121" s="6"/>
      <c r="D121" s="6"/>
    </row>
    <row r="122" spans="1:4" x14ac:dyDescent="0.3">
      <c r="A122" s="4"/>
      <c r="B122" s="6"/>
      <c r="C122" s="6"/>
      <c r="D122" s="6"/>
    </row>
    <row r="123" spans="1:4" x14ac:dyDescent="0.3">
      <c r="A123" s="6"/>
      <c r="B123" s="4"/>
      <c r="C123" s="4"/>
      <c r="D123" s="4"/>
    </row>
    <row r="124" spans="1:4" x14ac:dyDescent="0.3">
      <c r="A124" s="6"/>
      <c r="B124" s="4"/>
      <c r="C124" s="4"/>
      <c r="D124" s="4"/>
    </row>
    <row r="125" spans="1:4" x14ac:dyDescent="0.3">
      <c r="A125" s="6"/>
      <c r="B125" s="6"/>
      <c r="C125" s="6"/>
      <c r="D125" s="6"/>
    </row>
    <row r="126" spans="1:4" x14ac:dyDescent="0.3">
      <c r="A126" s="6"/>
      <c r="B126" s="4"/>
      <c r="C126" s="4"/>
      <c r="D126" s="4"/>
    </row>
    <row r="127" spans="1:4" x14ac:dyDescent="0.3">
      <c r="A127" s="4"/>
      <c r="B127" s="4"/>
      <c r="C127" s="4"/>
      <c r="D127" s="4"/>
    </row>
    <row r="128" spans="1:4" x14ac:dyDescent="0.3">
      <c r="A128" s="6"/>
      <c r="B128" s="4"/>
      <c r="C128" s="4"/>
      <c r="D128" s="4"/>
    </row>
    <row r="129" spans="1:4" x14ac:dyDescent="0.3">
      <c r="A129" s="4"/>
      <c r="B129" s="4"/>
      <c r="C129" s="4"/>
      <c r="D129" s="4"/>
    </row>
    <row r="130" spans="1:4" x14ac:dyDescent="0.3">
      <c r="A130" s="6"/>
      <c r="B130" s="4"/>
      <c r="C130" s="4"/>
      <c r="D130" s="4"/>
    </row>
    <row r="131" spans="1:4" x14ac:dyDescent="0.3">
      <c r="A131" s="4"/>
      <c r="B131" s="4"/>
      <c r="C131" s="4"/>
      <c r="D131" s="4"/>
    </row>
    <row r="132" spans="1:4" x14ac:dyDescent="0.3">
      <c r="A132" s="6"/>
      <c r="B132" s="4"/>
      <c r="C132" s="4"/>
      <c r="D132" s="4"/>
    </row>
    <row r="133" spans="1:4" x14ac:dyDescent="0.3">
      <c r="A133" s="4"/>
      <c r="B133" s="4"/>
      <c r="C133" s="4"/>
      <c r="D133" s="4"/>
    </row>
    <row r="134" spans="1:4" x14ac:dyDescent="0.3">
      <c r="A134" s="6"/>
      <c r="B134" s="4"/>
      <c r="C134" s="4"/>
      <c r="D134" s="4"/>
    </row>
    <row r="135" spans="1:4" x14ac:dyDescent="0.3">
      <c r="A135" s="4"/>
      <c r="B135" s="4"/>
      <c r="C135" s="4"/>
      <c r="D135" s="4"/>
    </row>
    <row r="136" spans="1:4" x14ac:dyDescent="0.3">
      <c r="A136" s="15"/>
      <c r="B136" s="4"/>
      <c r="C136" s="4"/>
      <c r="D136" s="4"/>
    </row>
    <row r="137" spans="1:4" x14ac:dyDescent="0.3">
      <c r="A137" s="4"/>
      <c r="B137" s="4"/>
      <c r="C137" s="4"/>
      <c r="D137" s="4"/>
    </row>
    <row r="138" spans="1:4" x14ac:dyDescent="0.3">
      <c r="A138" s="15"/>
      <c r="B138" s="4"/>
      <c r="C138" s="4"/>
      <c r="D138" s="4"/>
    </row>
    <row r="139" spans="1:4" x14ac:dyDescent="0.3">
      <c r="A139" s="4"/>
      <c r="B139" s="4"/>
      <c r="C139" s="4"/>
      <c r="D139" s="4"/>
    </row>
    <row r="140" spans="1:4" x14ac:dyDescent="0.3">
      <c r="A140" s="15"/>
      <c r="B140" s="4"/>
      <c r="C140" s="4"/>
      <c r="D140" s="4"/>
    </row>
    <row r="141" spans="1:4" x14ac:dyDescent="0.3">
      <c r="A141" s="4"/>
      <c r="B141" s="4"/>
      <c r="C141" s="4"/>
      <c r="D141" s="4"/>
    </row>
    <row r="142" spans="1:4" x14ac:dyDescent="0.3">
      <c r="A142" s="15"/>
      <c r="B142" s="4"/>
      <c r="C142" s="4"/>
      <c r="D142" s="4"/>
    </row>
    <row r="143" spans="1:4" x14ac:dyDescent="0.3">
      <c r="A143" s="4"/>
      <c r="B143" s="4"/>
      <c r="C143" s="4"/>
      <c r="D143" s="4"/>
    </row>
    <row r="144" spans="1:4" x14ac:dyDescent="0.3">
      <c r="A144" s="15"/>
      <c r="B144" s="4"/>
      <c r="C144" s="4"/>
      <c r="D144" s="4"/>
    </row>
    <row r="145" spans="1:4" x14ac:dyDescent="0.3">
      <c r="A145" s="4"/>
      <c r="B145" s="4"/>
      <c r="C145" s="4"/>
      <c r="D145" s="4"/>
    </row>
    <row r="146" spans="1:4" x14ac:dyDescent="0.3">
      <c r="A146" s="4"/>
      <c r="B146" s="6"/>
      <c r="C146" s="6"/>
      <c r="D146" s="6"/>
    </row>
    <row r="147" spans="1:4" x14ac:dyDescent="0.3">
      <c r="A147" s="4"/>
      <c r="B147" s="6"/>
      <c r="C147" s="6"/>
      <c r="D147" s="6"/>
    </row>
    <row r="148" spans="1:4" x14ac:dyDescent="0.3">
      <c r="A148" s="4"/>
      <c r="B148" s="6"/>
      <c r="C148" s="6"/>
      <c r="D14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702A-ADB0-45CD-9C93-F52E2B1A8790}">
  <dimension ref="A1:J5"/>
  <sheetViews>
    <sheetView workbookViewId="0">
      <selection activeCell="H5" sqref="H5"/>
    </sheetView>
  </sheetViews>
  <sheetFormatPr defaultRowHeight="14.4" x14ac:dyDescent="0.3"/>
  <cols>
    <col min="1" max="1" width="14.88671875" style="1" customWidth="1"/>
    <col min="2" max="2" width="12.109375" style="1" customWidth="1"/>
    <col min="3" max="3" width="10.5546875" style="1" customWidth="1"/>
    <col min="4" max="4" width="13.21875" style="1" customWidth="1"/>
    <col min="5" max="5" width="16" style="1" customWidth="1"/>
    <col min="6" max="6" width="11.44140625" style="1" customWidth="1"/>
    <col min="7" max="7" width="12.77734375" style="1" customWidth="1"/>
    <col min="8" max="8" width="26.21875" style="1" customWidth="1"/>
    <col min="9" max="9" width="21.21875" style="1" customWidth="1"/>
    <col min="10" max="10" width="24.44140625" style="1" customWidth="1"/>
    <col min="11" max="16384" width="8.88671875" style="1"/>
  </cols>
  <sheetData>
    <row r="1" spans="1:10" x14ac:dyDescent="0.3">
      <c r="A1" s="13" t="s">
        <v>51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  <c r="G1" s="13" t="s">
        <v>50</v>
      </c>
      <c r="H1" s="13" t="s">
        <v>52</v>
      </c>
      <c r="I1" s="13" t="s">
        <v>53</v>
      </c>
      <c r="J1" s="13" t="s">
        <v>54</v>
      </c>
    </row>
    <row r="2" spans="1:10" x14ac:dyDescent="0.3">
      <c r="A2" s="1">
        <v>0</v>
      </c>
      <c r="B2" s="1">
        <v>80.95</v>
      </c>
      <c r="C2" s="1">
        <v>75.540000000000006</v>
      </c>
      <c r="D2" s="1">
        <v>64.06</v>
      </c>
      <c r="E2" s="1">
        <v>75.69</v>
      </c>
      <c r="F2" s="1">
        <v>53.4</v>
      </c>
      <c r="G2" s="1">
        <v>41.85</v>
      </c>
      <c r="H2" s="1">
        <v>76.39</v>
      </c>
      <c r="I2" s="1">
        <v>53.22</v>
      </c>
      <c r="J2" s="1">
        <v>41.64</v>
      </c>
    </row>
    <row r="3" spans="1:10" x14ac:dyDescent="0.3">
      <c r="A3" s="1">
        <v>1</v>
      </c>
      <c r="B3" s="1">
        <v>76.41</v>
      </c>
      <c r="C3" s="1">
        <v>66.34</v>
      </c>
      <c r="D3" s="1">
        <v>55.97</v>
      </c>
      <c r="E3" s="1">
        <v>77.61</v>
      </c>
      <c r="F3" s="1">
        <v>56.86</v>
      </c>
      <c r="G3" s="1">
        <v>46.49</v>
      </c>
      <c r="H3" s="1">
        <v>75.95</v>
      </c>
      <c r="I3" s="1">
        <v>55.21</v>
      </c>
      <c r="J3" s="1">
        <v>44.83</v>
      </c>
    </row>
    <row r="4" spans="1:10" x14ac:dyDescent="0.3">
      <c r="A4" s="1">
        <v>2</v>
      </c>
      <c r="B4" s="1">
        <v>67.14</v>
      </c>
      <c r="C4" s="1">
        <v>57.74</v>
      </c>
      <c r="D4" s="1">
        <v>48.35</v>
      </c>
      <c r="E4" s="1">
        <v>77.11</v>
      </c>
      <c r="F4" s="1">
        <v>58.32</v>
      </c>
      <c r="G4" s="1">
        <v>48.93</v>
      </c>
      <c r="H4" s="1">
        <v>74.87</v>
      </c>
      <c r="I4" s="1">
        <v>56.08</v>
      </c>
      <c r="J4" s="1">
        <v>46.69</v>
      </c>
    </row>
    <row r="5" spans="1:10" x14ac:dyDescent="0.3">
      <c r="A5" s="1">
        <v>3</v>
      </c>
      <c r="B5" s="1">
        <v>51.29</v>
      </c>
      <c r="C5" s="1">
        <v>42.71</v>
      </c>
      <c r="D5" s="1">
        <v>34.119999999999997</v>
      </c>
      <c r="E5" s="1">
        <v>72.53</v>
      </c>
      <c r="F5" s="1">
        <v>55.36</v>
      </c>
      <c r="G5" s="1">
        <v>46.78</v>
      </c>
      <c r="H5" s="1">
        <v>71.7</v>
      </c>
      <c r="I5" s="1">
        <v>54.53</v>
      </c>
      <c r="J5" s="1">
        <v>45.94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C9BD-3EFA-4DEF-8868-2613E74852FC}">
  <dimension ref="A1:O74"/>
  <sheetViews>
    <sheetView topLeftCell="B43" zoomScale="85" zoomScaleNormal="85" workbookViewId="0">
      <selection activeCell="C62" sqref="C62:D62"/>
    </sheetView>
  </sheetViews>
  <sheetFormatPr defaultRowHeight="14.4" x14ac:dyDescent="0.3"/>
  <cols>
    <col min="1" max="1" width="26.21875" style="1" customWidth="1"/>
    <col min="2" max="2" width="30.109375" style="1" customWidth="1"/>
    <col min="3" max="3" width="40.33203125" style="1" customWidth="1"/>
    <col min="4" max="4" width="42.109375" style="1" customWidth="1"/>
    <col min="5" max="5" width="32.88671875" style="1" customWidth="1"/>
    <col min="6" max="6" width="27.5546875" style="1" customWidth="1"/>
    <col min="7" max="7" width="31.88671875" style="1" customWidth="1"/>
    <col min="8" max="8" width="51" style="1" customWidth="1"/>
    <col min="9" max="9" width="8.88671875" style="1"/>
    <col min="10" max="10" width="11.88671875" style="1" customWidth="1"/>
    <col min="11" max="11" width="14.33203125" style="1" customWidth="1"/>
    <col min="12" max="12" width="19.109375" style="1" customWidth="1"/>
    <col min="13" max="13" width="20.44140625" style="1" customWidth="1"/>
    <col min="14" max="16384" width="8.88671875" style="1"/>
  </cols>
  <sheetData>
    <row r="1" spans="1:15" x14ac:dyDescent="0.3">
      <c r="A1" s="12" t="s">
        <v>11</v>
      </c>
      <c r="B1" s="12" t="s">
        <v>13</v>
      </c>
      <c r="C1" s="12" t="s">
        <v>23</v>
      </c>
      <c r="D1" s="12" t="s">
        <v>24</v>
      </c>
    </row>
    <row r="2" spans="1:15" x14ac:dyDescent="0.3">
      <c r="A2" s="2" t="s">
        <v>0</v>
      </c>
      <c r="B2" s="1" t="s">
        <v>10</v>
      </c>
      <c r="C2" s="1">
        <v>2.29</v>
      </c>
      <c r="D2" s="1">
        <v>36.18</v>
      </c>
    </row>
    <row r="3" spans="1:15" x14ac:dyDescent="0.3">
      <c r="B3" s="1" t="s">
        <v>12</v>
      </c>
      <c r="C3" s="1">
        <v>19.21</v>
      </c>
      <c r="D3" s="1">
        <v>46.43</v>
      </c>
    </row>
    <row r="4" spans="1:15" x14ac:dyDescent="0.3">
      <c r="A4" s="2" t="s">
        <v>1</v>
      </c>
      <c r="B4" s="1" t="s">
        <v>10</v>
      </c>
      <c r="C4" s="1">
        <v>-8.8699999999999992</v>
      </c>
      <c r="D4" s="1">
        <v>25.76</v>
      </c>
    </row>
    <row r="5" spans="1:15" x14ac:dyDescent="0.3">
      <c r="B5" s="1" t="s">
        <v>12</v>
      </c>
      <c r="C5" s="1">
        <v>4.53</v>
      </c>
      <c r="D5" s="1">
        <v>34.61</v>
      </c>
    </row>
    <row r="6" spans="1:15" x14ac:dyDescent="0.3">
      <c r="A6" s="2" t="s">
        <v>2</v>
      </c>
      <c r="B6" s="1" t="s">
        <v>10</v>
      </c>
      <c r="C6" s="1">
        <v>13.23</v>
      </c>
      <c r="D6" s="1">
        <v>43.88</v>
      </c>
    </row>
    <row r="7" spans="1:15" x14ac:dyDescent="0.3">
      <c r="B7" s="1" t="s">
        <v>12</v>
      </c>
      <c r="C7" s="1">
        <v>35.83</v>
      </c>
      <c r="D7" s="4">
        <v>57.15</v>
      </c>
      <c r="E7" s="4"/>
      <c r="F7" s="4"/>
      <c r="G7" s="4"/>
      <c r="H7" s="4"/>
      <c r="I7" s="4"/>
      <c r="J7" s="4"/>
      <c r="K7" s="4"/>
      <c r="L7" s="4"/>
      <c r="M7" s="4"/>
    </row>
    <row r="8" spans="1:15" x14ac:dyDescent="0.3">
      <c r="A8" s="2" t="s">
        <v>3</v>
      </c>
      <c r="B8" s="1" t="s">
        <v>10</v>
      </c>
      <c r="C8" s="1">
        <v>19.47</v>
      </c>
      <c r="D8" s="4">
        <v>48.23</v>
      </c>
      <c r="E8" s="4"/>
      <c r="F8" s="4"/>
      <c r="G8" s="4"/>
      <c r="H8" s="4"/>
      <c r="I8" s="4"/>
      <c r="J8" s="4"/>
      <c r="K8" s="4"/>
      <c r="L8" s="4"/>
      <c r="M8" s="4"/>
    </row>
    <row r="9" spans="1:15" x14ac:dyDescent="0.3">
      <c r="B9" s="1" t="s">
        <v>12</v>
      </c>
      <c r="C9" s="1">
        <v>35.83</v>
      </c>
      <c r="D9" s="4">
        <v>57.47</v>
      </c>
      <c r="E9" s="4"/>
      <c r="F9" s="4"/>
      <c r="G9" s="4"/>
      <c r="H9" s="4"/>
      <c r="I9" s="4"/>
      <c r="J9" s="4"/>
      <c r="K9" s="4"/>
      <c r="L9" s="4"/>
      <c r="M9" s="4"/>
    </row>
    <row r="10" spans="1:15" x14ac:dyDescent="0.3">
      <c r="A10" s="2" t="s">
        <v>4</v>
      </c>
      <c r="B10" s="1" t="s">
        <v>10</v>
      </c>
      <c r="C10" s="1">
        <v>25.5</v>
      </c>
      <c r="D10" s="4">
        <v>52.2</v>
      </c>
      <c r="E10" s="4"/>
      <c r="F10" s="4"/>
      <c r="G10" s="4"/>
      <c r="H10" s="4"/>
      <c r="I10" s="4"/>
      <c r="J10" s="4"/>
      <c r="K10" s="6"/>
      <c r="L10" s="4"/>
      <c r="M10" s="4"/>
    </row>
    <row r="11" spans="1:15" x14ac:dyDescent="0.3">
      <c r="B11" s="1" t="s">
        <v>12</v>
      </c>
      <c r="C11" s="1">
        <v>44.37</v>
      </c>
      <c r="D11" s="4">
        <v>62.33</v>
      </c>
      <c r="E11" s="4"/>
      <c r="F11" s="4"/>
      <c r="G11" s="4"/>
      <c r="H11" s="4"/>
      <c r="I11" s="4"/>
      <c r="J11" s="4"/>
      <c r="K11" s="9"/>
      <c r="L11" s="10"/>
      <c r="M11" s="9"/>
    </row>
    <row r="12" spans="1:15" x14ac:dyDescent="0.3">
      <c r="A12" s="7" t="s">
        <v>5</v>
      </c>
      <c r="B12" s="1" t="s">
        <v>10</v>
      </c>
      <c r="C12" s="1">
        <v>4.71</v>
      </c>
      <c r="D12" s="4">
        <v>36.97</v>
      </c>
      <c r="E12" s="4"/>
      <c r="F12" s="4"/>
      <c r="G12" s="4"/>
      <c r="H12" s="4"/>
      <c r="I12" s="4"/>
      <c r="J12" s="6"/>
      <c r="K12" s="6"/>
      <c r="L12" s="6"/>
      <c r="M12" s="6"/>
      <c r="N12" s="2"/>
      <c r="O12" s="2"/>
    </row>
    <row r="13" spans="1:15" x14ac:dyDescent="0.3">
      <c r="B13" s="1" t="s">
        <v>12</v>
      </c>
      <c r="C13" s="1">
        <v>19.88</v>
      </c>
      <c r="D13" s="4">
        <v>46.19</v>
      </c>
      <c r="E13" s="4"/>
      <c r="F13" s="4"/>
      <c r="G13" s="4"/>
      <c r="H13" s="4"/>
      <c r="I13" s="4"/>
      <c r="J13" s="4"/>
      <c r="K13" s="6"/>
      <c r="L13" s="4"/>
      <c r="M13" s="4"/>
    </row>
    <row r="14" spans="1:15" x14ac:dyDescent="0.3">
      <c r="A14" s="7" t="s">
        <v>6</v>
      </c>
      <c r="B14" s="1" t="s">
        <v>10</v>
      </c>
      <c r="C14" s="1">
        <v>19.96</v>
      </c>
      <c r="D14" s="4">
        <v>50.18</v>
      </c>
      <c r="E14" s="4"/>
      <c r="F14" s="4"/>
      <c r="G14" s="4"/>
      <c r="H14" s="11"/>
      <c r="I14" s="4"/>
      <c r="J14" s="6"/>
      <c r="K14" s="6"/>
      <c r="L14" s="6"/>
      <c r="M14" s="6"/>
      <c r="N14" s="2"/>
      <c r="O14" s="2"/>
    </row>
    <row r="15" spans="1:15" x14ac:dyDescent="0.3">
      <c r="B15" s="1" t="s">
        <v>12</v>
      </c>
      <c r="C15" s="1">
        <v>38.36</v>
      </c>
      <c r="D15" s="4">
        <v>58.31</v>
      </c>
      <c r="E15" s="4"/>
      <c r="F15" s="4"/>
      <c r="G15" s="4"/>
      <c r="H15" s="11"/>
      <c r="I15" s="4"/>
      <c r="J15" s="6"/>
      <c r="K15" s="6"/>
      <c r="L15" s="6"/>
      <c r="M15" s="6"/>
      <c r="N15" s="2"/>
      <c r="O15" s="2"/>
    </row>
    <row r="16" spans="1:15" x14ac:dyDescent="0.3">
      <c r="A16" s="7" t="s">
        <v>7</v>
      </c>
      <c r="B16" s="1" t="s">
        <v>10</v>
      </c>
      <c r="C16" s="1">
        <v>-6.14</v>
      </c>
      <c r="D16" s="4">
        <v>30.65</v>
      </c>
      <c r="E16" s="4"/>
      <c r="F16" s="4"/>
      <c r="G16" s="4"/>
      <c r="H16" s="11"/>
      <c r="I16" s="4"/>
      <c r="J16" s="6"/>
      <c r="K16" s="6"/>
      <c r="L16" s="6"/>
      <c r="M16" s="6"/>
      <c r="N16" s="2"/>
      <c r="O16" s="2"/>
    </row>
    <row r="17" spans="1:15" x14ac:dyDescent="0.3">
      <c r="B17" s="1" t="s">
        <v>12</v>
      </c>
      <c r="C17" s="1">
        <v>9.77</v>
      </c>
      <c r="D17" s="4">
        <v>40.72</v>
      </c>
      <c r="E17" s="4"/>
      <c r="F17" s="4"/>
      <c r="G17" s="4"/>
      <c r="H17" s="11"/>
      <c r="I17" s="4"/>
      <c r="J17" s="6"/>
      <c r="K17" s="6"/>
      <c r="L17" s="6"/>
      <c r="M17" s="6"/>
      <c r="N17" s="2"/>
      <c r="O17" s="2"/>
    </row>
    <row r="18" spans="1:15" x14ac:dyDescent="0.3">
      <c r="A18" s="7" t="s">
        <v>8</v>
      </c>
      <c r="B18" s="1" t="s">
        <v>10</v>
      </c>
      <c r="C18" s="1">
        <v>4.75</v>
      </c>
      <c r="D18" s="4">
        <v>38.409999999999997</v>
      </c>
      <c r="E18" s="4"/>
      <c r="F18" s="4"/>
      <c r="G18" s="4"/>
      <c r="H18" s="11"/>
      <c r="I18" s="4"/>
      <c r="J18" s="6"/>
      <c r="K18" s="6"/>
      <c r="L18" s="6"/>
      <c r="M18" s="6"/>
      <c r="N18" s="2"/>
      <c r="O18" s="2"/>
    </row>
    <row r="19" spans="1:15" x14ac:dyDescent="0.3">
      <c r="B19" s="1" t="s">
        <v>12</v>
      </c>
      <c r="C19" s="1">
        <v>21.62</v>
      </c>
      <c r="D19" s="4">
        <v>48.71</v>
      </c>
      <c r="E19" s="4"/>
      <c r="F19" s="4"/>
      <c r="G19" s="4"/>
      <c r="H19" s="11"/>
      <c r="I19" s="4"/>
      <c r="J19" s="6"/>
      <c r="K19" s="6"/>
      <c r="L19" s="6"/>
      <c r="M19" s="6"/>
      <c r="N19" s="2"/>
      <c r="O19" s="2"/>
    </row>
    <row r="20" spans="1:15" x14ac:dyDescent="0.3">
      <c r="A20" s="7" t="s">
        <v>9</v>
      </c>
      <c r="B20" s="1" t="s">
        <v>10</v>
      </c>
      <c r="C20" s="1">
        <v>0.28999999999999998</v>
      </c>
      <c r="D20" s="4">
        <v>32.89</v>
      </c>
      <c r="E20" s="4"/>
      <c r="F20" s="4"/>
      <c r="G20" s="4"/>
      <c r="H20" s="11"/>
      <c r="I20" s="4"/>
      <c r="J20" s="6"/>
      <c r="K20" s="6"/>
      <c r="L20" s="6"/>
      <c r="M20" s="6"/>
      <c r="N20" s="2"/>
      <c r="O20" s="2"/>
    </row>
    <row r="21" spans="1:15" x14ac:dyDescent="0.3">
      <c r="B21" s="1" t="s">
        <v>12</v>
      </c>
      <c r="C21" s="1">
        <v>13.81</v>
      </c>
      <c r="D21" s="4">
        <v>42.01</v>
      </c>
      <c r="E21" s="4"/>
      <c r="F21" s="4"/>
      <c r="G21" s="4"/>
      <c r="H21" s="11"/>
      <c r="I21" s="4"/>
      <c r="J21" s="6"/>
      <c r="K21" s="6"/>
      <c r="L21" s="6"/>
      <c r="M21" s="6"/>
      <c r="N21" s="2"/>
      <c r="O21" s="2"/>
    </row>
    <row r="22" spans="1:15" x14ac:dyDescent="0.3">
      <c r="B22" s="13" t="s">
        <v>25</v>
      </c>
      <c r="C22" s="2">
        <f>AVERAGE(C2:C21)</f>
        <v>15.920000000000002</v>
      </c>
      <c r="D22" s="2">
        <f>AVERAGE(D2:D21)</f>
        <v>44.464000000000006</v>
      </c>
      <c r="E22" s="4"/>
      <c r="F22" s="4"/>
      <c r="G22" s="4"/>
      <c r="H22" s="11"/>
      <c r="I22" s="4"/>
      <c r="J22" s="6"/>
      <c r="K22" s="6"/>
      <c r="L22" s="6"/>
      <c r="M22" s="6"/>
      <c r="N22" s="2"/>
      <c r="O22" s="2"/>
    </row>
    <row r="23" spans="1:15" x14ac:dyDescent="0.3">
      <c r="B23" s="13" t="s">
        <v>27</v>
      </c>
      <c r="C23" s="2">
        <f>AVERAGE(C2,C4,C6,C8,C10,C12,C14,C16,C18,C20)</f>
        <v>7.519000000000001</v>
      </c>
      <c r="D23" s="2">
        <f>AVERAGE(D2,D4,D6,D8,D10,D12,D14,D16,D18,D20)</f>
        <v>39.534999999999989</v>
      </c>
      <c r="E23" s="4"/>
      <c r="F23" s="4"/>
      <c r="G23" s="4"/>
      <c r="H23" s="11"/>
      <c r="I23" s="4"/>
      <c r="J23" s="6"/>
      <c r="K23" s="6"/>
      <c r="L23" s="6"/>
      <c r="M23" s="6"/>
      <c r="N23" s="2"/>
      <c r="O23" s="2"/>
    </row>
    <row r="24" spans="1:15" x14ac:dyDescent="0.3">
      <c r="B24" s="13" t="s">
        <v>28</v>
      </c>
      <c r="C24" s="2">
        <f>AVERAGE(C3,C5,C7,C9,C11,C13,C15,C17,C19,C21)</f>
        <v>24.321000000000002</v>
      </c>
      <c r="D24" s="2">
        <f>AVERAGE(D3,D5,D7,D9,D11,D13,D15,D17,D19,D21)</f>
        <v>49.393000000000001</v>
      </c>
      <c r="E24" s="4"/>
      <c r="F24" s="4"/>
      <c r="G24" s="4"/>
      <c r="H24" s="4"/>
      <c r="I24" s="4"/>
      <c r="J24" s="4"/>
      <c r="K24" s="4"/>
      <c r="L24" s="4"/>
      <c r="M24" s="4"/>
    </row>
    <row r="25" spans="1:15" x14ac:dyDescent="0.3"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5" x14ac:dyDescent="0.3">
      <c r="A26" s="2" t="s">
        <v>0</v>
      </c>
      <c r="B26" s="1" t="s">
        <v>14</v>
      </c>
      <c r="C26" s="1">
        <v>49.42</v>
      </c>
      <c r="D26" s="1">
        <v>60.31</v>
      </c>
      <c r="E26" s="4"/>
      <c r="F26" s="4"/>
      <c r="G26" s="4"/>
      <c r="H26" s="4"/>
      <c r="I26" s="4"/>
      <c r="J26" s="4"/>
      <c r="K26" s="4"/>
      <c r="L26" s="10"/>
      <c r="M26" s="4"/>
    </row>
    <row r="27" spans="1:15" x14ac:dyDescent="0.3">
      <c r="B27" s="1" t="s">
        <v>15</v>
      </c>
      <c r="C27" s="1">
        <v>58.13</v>
      </c>
      <c r="D27" s="1">
        <v>63.12</v>
      </c>
      <c r="E27" s="4"/>
      <c r="F27" s="4"/>
      <c r="G27" s="4"/>
      <c r="H27" s="11"/>
      <c r="I27" s="4"/>
      <c r="J27" s="6"/>
      <c r="K27" s="6"/>
      <c r="L27" s="6"/>
      <c r="M27" s="6"/>
      <c r="N27" s="2"/>
      <c r="O27" s="2"/>
    </row>
    <row r="28" spans="1:15" x14ac:dyDescent="0.3">
      <c r="A28" s="2" t="s">
        <v>1</v>
      </c>
      <c r="B28" s="1" t="s">
        <v>14</v>
      </c>
      <c r="C28" s="1">
        <v>28.73</v>
      </c>
      <c r="D28" s="1">
        <v>37.590000000000003</v>
      </c>
      <c r="E28" s="4"/>
      <c r="F28" s="4"/>
      <c r="G28" s="4"/>
      <c r="H28" s="11"/>
      <c r="I28" s="4"/>
      <c r="J28" s="6"/>
      <c r="K28" s="6"/>
      <c r="L28" s="6"/>
      <c r="M28" s="6"/>
      <c r="N28" s="2"/>
      <c r="O28" s="2"/>
    </row>
    <row r="29" spans="1:15" x14ac:dyDescent="0.3">
      <c r="B29" s="1" t="s">
        <v>15</v>
      </c>
      <c r="C29" s="1">
        <v>37.64</v>
      </c>
      <c r="D29" s="1">
        <v>44.18</v>
      </c>
      <c r="E29" s="4"/>
      <c r="F29" s="4"/>
      <c r="G29" s="4"/>
      <c r="H29" s="11"/>
      <c r="I29" s="4"/>
      <c r="J29" s="6"/>
      <c r="K29" s="6"/>
      <c r="L29" s="6"/>
      <c r="M29" s="6"/>
      <c r="N29" s="2"/>
      <c r="O29" s="2"/>
    </row>
    <row r="30" spans="1:15" x14ac:dyDescent="0.3">
      <c r="A30" s="2" t="s">
        <v>2</v>
      </c>
      <c r="B30" s="1" t="s">
        <v>14</v>
      </c>
      <c r="C30" s="1">
        <v>63.41</v>
      </c>
      <c r="D30" s="1">
        <v>68.34</v>
      </c>
      <c r="E30" s="4"/>
      <c r="F30" s="4"/>
      <c r="G30" s="4"/>
      <c r="H30" s="11"/>
      <c r="I30" s="4"/>
      <c r="J30" s="6"/>
      <c r="K30" s="6"/>
      <c r="L30" s="6"/>
      <c r="M30" s="6"/>
      <c r="N30" s="2"/>
      <c r="O30" s="2"/>
    </row>
    <row r="31" spans="1:15" x14ac:dyDescent="0.3">
      <c r="B31" s="1" t="s">
        <v>15</v>
      </c>
      <c r="C31" s="1">
        <v>70.650000000000006</v>
      </c>
      <c r="D31" s="1">
        <v>73.64</v>
      </c>
      <c r="E31" s="4"/>
      <c r="F31" s="4"/>
      <c r="G31" s="4"/>
      <c r="H31" s="11"/>
      <c r="I31" s="4"/>
      <c r="J31" s="6"/>
      <c r="K31" s="6"/>
      <c r="L31" s="6"/>
      <c r="M31" s="6"/>
      <c r="N31" s="2"/>
      <c r="O31" s="2"/>
    </row>
    <row r="32" spans="1:15" x14ac:dyDescent="0.3">
      <c r="A32" s="2" t="s">
        <v>3</v>
      </c>
      <c r="B32" s="1" t="s">
        <v>14</v>
      </c>
      <c r="C32" s="1">
        <v>59.13</v>
      </c>
      <c r="D32" s="1">
        <v>64.819999999999993</v>
      </c>
      <c r="E32" s="4"/>
      <c r="F32" s="4"/>
      <c r="G32" s="4"/>
      <c r="H32" s="11"/>
      <c r="I32" s="4"/>
      <c r="J32" s="6"/>
      <c r="K32" s="6"/>
      <c r="L32" s="6"/>
      <c r="M32" s="6"/>
      <c r="N32" s="2"/>
      <c r="O32" s="2"/>
    </row>
    <row r="33" spans="1:15" x14ac:dyDescent="0.3">
      <c r="B33" s="1" t="s">
        <v>15</v>
      </c>
      <c r="C33" s="1">
        <v>66.069999999999993</v>
      </c>
      <c r="D33" s="1">
        <v>69.91</v>
      </c>
      <c r="E33" s="4"/>
      <c r="F33" s="4"/>
      <c r="G33" s="4"/>
      <c r="H33" s="11"/>
      <c r="I33" s="4"/>
      <c r="J33" s="6"/>
      <c r="K33" s="6"/>
      <c r="L33" s="6"/>
      <c r="M33" s="6"/>
      <c r="N33" s="2"/>
      <c r="O33" s="2"/>
    </row>
    <row r="34" spans="1:15" x14ac:dyDescent="0.3">
      <c r="A34" s="2" t="s">
        <v>4</v>
      </c>
      <c r="B34" s="1" t="s">
        <v>14</v>
      </c>
      <c r="C34" s="1">
        <v>65.44</v>
      </c>
      <c r="D34" s="1">
        <v>69.760000000000005</v>
      </c>
      <c r="E34" s="4"/>
      <c r="F34" s="4"/>
      <c r="G34" s="4"/>
      <c r="H34" s="11"/>
      <c r="I34" s="4"/>
      <c r="J34" s="6"/>
      <c r="K34" s="6"/>
      <c r="L34" s="6"/>
      <c r="M34" s="6"/>
      <c r="N34" s="2"/>
      <c r="O34" s="2"/>
    </row>
    <row r="35" spans="1:15" x14ac:dyDescent="0.3">
      <c r="B35" s="1" t="s">
        <v>15</v>
      </c>
      <c r="C35" s="1">
        <v>71.03</v>
      </c>
      <c r="D35" s="1">
        <v>73.86</v>
      </c>
      <c r="E35" s="4"/>
      <c r="F35" s="4"/>
      <c r="G35" s="4"/>
      <c r="H35" s="11"/>
      <c r="I35" s="4"/>
      <c r="J35" s="6"/>
      <c r="K35" s="6"/>
      <c r="L35" s="6"/>
      <c r="M35" s="6"/>
      <c r="N35" s="2"/>
      <c r="O35" s="2"/>
    </row>
    <row r="36" spans="1:15" x14ac:dyDescent="0.3">
      <c r="A36" s="7" t="s">
        <v>5</v>
      </c>
      <c r="B36" s="1" t="s">
        <v>14</v>
      </c>
      <c r="C36" s="1">
        <v>48.54</v>
      </c>
      <c r="D36" s="1">
        <v>55.42</v>
      </c>
      <c r="E36" s="4"/>
      <c r="F36" s="4"/>
      <c r="G36" s="4"/>
      <c r="H36" s="11"/>
      <c r="I36" s="4"/>
      <c r="J36" s="6"/>
      <c r="K36" s="6"/>
      <c r="L36" s="6"/>
      <c r="M36" s="6"/>
      <c r="N36" s="2"/>
      <c r="O36" s="2"/>
    </row>
    <row r="37" spans="1:15" x14ac:dyDescent="0.3">
      <c r="B37" s="1" t="s">
        <v>15</v>
      </c>
      <c r="C37" s="1">
        <v>56.53</v>
      </c>
      <c r="D37" s="1">
        <v>61.28</v>
      </c>
      <c r="E37" s="4"/>
      <c r="F37" s="4"/>
      <c r="G37" s="4"/>
      <c r="H37" s="4"/>
      <c r="I37" s="4"/>
      <c r="J37" s="6"/>
      <c r="K37" s="6"/>
      <c r="L37" s="6"/>
      <c r="M37" s="6"/>
      <c r="N37" s="2"/>
      <c r="O37" s="2"/>
    </row>
    <row r="38" spans="1:15" x14ac:dyDescent="0.3">
      <c r="A38" s="7" t="s">
        <v>6</v>
      </c>
      <c r="B38" s="1" t="s">
        <v>14</v>
      </c>
      <c r="C38" s="1">
        <v>62.4</v>
      </c>
      <c r="D38" s="1">
        <v>67.760000000000005</v>
      </c>
    </row>
    <row r="39" spans="1:15" x14ac:dyDescent="0.3">
      <c r="B39" s="1" t="s">
        <v>15</v>
      </c>
      <c r="C39" s="1">
        <v>68.86</v>
      </c>
      <c r="D39" s="1">
        <v>72.47</v>
      </c>
    </row>
    <row r="40" spans="1:15" x14ac:dyDescent="0.3">
      <c r="A40" s="7" t="s">
        <v>7</v>
      </c>
      <c r="B40" s="1" t="s">
        <v>14</v>
      </c>
      <c r="C40" s="1">
        <v>44.47</v>
      </c>
      <c r="D40" s="1">
        <v>52.88</v>
      </c>
    </row>
    <row r="41" spans="1:15" x14ac:dyDescent="0.3">
      <c r="B41" s="1" t="s">
        <v>15</v>
      </c>
      <c r="C41" s="1">
        <v>54.86</v>
      </c>
      <c r="D41" s="1">
        <v>60.59</v>
      </c>
    </row>
    <row r="42" spans="1:15" x14ac:dyDescent="0.3">
      <c r="A42" s="7" t="s">
        <v>8</v>
      </c>
      <c r="B42" s="1" t="s">
        <v>14</v>
      </c>
      <c r="C42" s="1">
        <v>49.09</v>
      </c>
      <c r="D42" s="1">
        <v>56.38</v>
      </c>
    </row>
    <row r="43" spans="1:15" x14ac:dyDescent="0.3">
      <c r="B43" s="1" t="s">
        <v>15</v>
      </c>
      <c r="C43" s="1">
        <v>57.03</v>
      </c>
      <c r="D43" s="1">
        <v>62.27</v>
      </c>
    </row>
    <row r="44" spans="1:15" x14ac:dyDescent="0.3">
      <c r="A44" s="7" t="s">
        <v>9</v>
      </c>
      <c r="B44" s="1" t="s">
        <v>14</v>
      </c>
      <c r="C44" s="1">
        <v>39.06</v>
      </c>
      <c r="D44" s="1">
        <v>46.95</v>
      </c>
    </row>
    <row r="45" spans="1:15" x14ac:dyDescent="0.3">
      <c r="B45" s="1" t="s">
        <v>15</v>
      </c>
      <c r="C45" s="1">
        <v>46.91</v>
      </c>
      <c r="D45" s="1">
        <v>52.67</v>
      </c>
    </row>
    <row r="46" spans="1:15" x14ac:dyDescent="0.3">
      <c r="B46" s="13" t="s">
        <v>25</v>
      </c>
      <c r="C46" s="2">
        <f>AVERAGE(C26:C45)</f>
        <v>54.870000000000005</v>
      </c>
      <c r="D46" s="2">
        <f>AVERAGE(D26:D45)</f>
        <v>60.71</v>
      </c>
    </row>
    <row r="47" spans="1:15" x14ac:dyDescent="0.3">
      <c r="B47" s="13" t="s">
        <v>27</v>
      </c>
      <c r="C47" s="2">
        <f>AVERAGE(C26,C28,C30,C32,C34,C36,C38,C40,C42,C44)</f>
        <v>50.969000000000001</v>
      </c>
      <c r="D47" s="2">
        <f>AVERAGE(D26,D28,D30,D32,D34,D36,D38,D40,D42,D44)</f>
        <v>58.021000000000001</v>
      </c>
    </row>
    <row r="48" spans="1:15" x14ac:dyDescent="0.3">
      <c r="B48" s="13" t="s">
        <v>28</v>
      </c>
      <c r="C48" s="2">
        <f>AVERAGE(C27,C29,C31,C33,C35,C37,C39,C41,C43,C45)</f>
        <v>58.770999999999994</v>
      </c>
      <c r="D48" s="2">
        <f>AVERAGE(D27,D29,D31,D33,D35,D37,D39,D41,D43,D45)</f>
        <v>63.399000000000001</v>
      </c>
    </row>
    <row r="49" spans="1:7" x14ac:dyDescent="0.3">
      <c r="A49" s="2" t="s">
        <v>0</v>
      </c>
      <c r="B49" s="1" t="s">
        <v>16</v>
      </c>
      <c r="C49" s="1">
        <v>-18.850000000000001</v>
      </c>
      <c r="D49" s="1">
        <v>28.01</v>
      </c>
    </row>
    <row r="50" spans="1:7" x14ac:dyDescent="0.3">
      <c r="A50" s="2" t="s">
        <v>1</v>
      </c>
      <c r="B50" s="1" t="s">
        <v>16</v>
      </c>
      <c r="C50" s="1">
        <v>-23.3</v>
      </c>
      <c r="D50" s="1">
        <v>17.89</v>
      </c>
    </row>
    <row r="51" spans="1:7" x14ac:dyDescent="0.3">
      <c r="A51" s="2" t="s">
        <v>2</v>
      </c>
      <c r="B51" s="1" t="s">
        <v>16</v>
      </c>
      <c r="C51" s="1">
        <v>-15.34</v>
      </c>
      <c r="D51" s="1">
        <v>30.76</v>
      </c>
    </row>
    <row r="52" spans="1:7" x14ac:dyDescent="0.3">
      <c r="A52" s="2" t="s">
        <v>3</v>
      </c>
      <c r="B52" s="1" t="s">
        <v>16</v>
      </c>
      <c r="C52" s="1">
        <v>-10.42</v>
      </c>
      <c r="D52" s="1">
        <v>38.770000000000003</v>
      </c>
    </row>
    <row r="53" spans="1:7" x14ac:dyDescent="0.3">
      <c r="A53" s="2" t="s">
        <v>4</v>
      </c>
      <c r="B53" s="1" t="s">
        <v>16</v>
      </c>
      <c r="C53" s="1">
        <v>-10.64</v>
      </c>
      <c r="D53" s="1">
        <v>40.5</v>
      </c>
    </row>
    <row r="54" spans="1:7" x14ac:dyDescent="0.3">
      <c r="A54" s="7" t="s">
        <v>5</v>
      </c>
      <c r="B54" s="1" t="s">
        <v>16</v>
      </c>
      <c r="C54" s="1">
        <v>-15.11</v>
      </c>
      <c r="D54" s="1">
        <v>28.36</v>
      </c>
    </row>
    <row r="55" spans="1:7" x14ac:dyDescent="0.3">
      <c r="A55" s="7" t="s">
        <v>6</v>
      </c>
      <c r="B55" s="1" t="s">
        <v>16</v>
      </c>
      <c r="C55" s="1">
        <v>-15.5</v>
      </c>
      <c r="D55" s="1">
        <v>35.31</v>
      </c>
    </row>
    <row r="56" spans="1:7" x14ac:dyDescent="0.3">
      <c r="A56" s="7" t="s">
        <v>7</v>
      </c>
      <c r="B56" s="1" t="s">
        <v>16</v>
      </c>
      <c r="C56" s="1">
        <v>-19.989999999999998</v>
      </c>
      <c r="D56" s="1">
        <v>25.81</v>
      </c>
    </row>
    <row r="57" spans="1:7" x14ac:dyDescent="0.3">
      <c r="A57" s="7" t="s">
        <v>8</v>
      </c>
      <c r="B57" s="1" t="s">
        <v>16</v>
      </c>
      <c r="C57" s="1">
        <v>-20.02</v>
      </c>
      <c r="D57" s="1">
        <v>26.46</v>
      </c>
    </row>
    <row r="58" spans="1:7" x14ac:dyDescent="0.3">
      <c r="A58" s="7" t="s">
        <v>9</v>
      </c>
      <c r="B58" s="1" t="s">
        <v>16</v>
      </c>
      <c r="C58" s="1">
        <v>-16.309999999999999</v>
      </c>
      <c r="D58" s="1">
        <v>23.42</v>
      </c>
    </row>
    <row r="59" spans="1:7" x14ac:dyDescent="0.3">
      <c r="B59" s="13" t="s">
        <v>25</v>
      </c>
      <c r="C59" s="2">
        <f>AVERAGE(C49:C58)</f>
        <v>-16.548000000000002</v>
      </c>
      <c r="D59" s="2">
        <f>AVERAGE(D49:D58)</f>
        <v>29.529000000000003</v>
      </c>
    </row>
    <row r="60" spans="1:7" x14ac:dyDescent="0.3">
      <c r="B60" s="13"/>
      <c r="C60" s="2"/>
      <c r="D60" s="2"/>
    </row>
    <row r="61" spans="1:7" x14ac:dyDescent="0.3">
      <c r="B61" s="8"/>
      <c r="C61" s="14" t="s">
        <v>30</v>
      </c>
      <c r="D61" s="14" t="s">
        <v>31</v>
      </c>
    </row>
    <row r="62" spans="1:7" x14ac:dyDescent="0.3">
      <c r="B62" s="14" t="s">
        <v>29</v>
      </c>
      <c r="C62" s="5">
        <f>AVERAGE(C2:C21,C26:C45,C49:C58)</f>
        <v>25.006399999999999</v>
      </c>
      <c r="D62" s="5">
        <f>AVERAGE(D2:D21,D26:D45,D49:D58)</f>
        <v>47.975400000000015</v>
      </c>
    </row>
    <row r="63" spans="1:7" x14ac:dyDescent="0.3">
      <c r="B63" s="5" t="s">
        <v>17</v>
      </c>
      <c r="C63" s="5" t="s">
        <v>18</v>
      </c>
      <c r="D63" s="5" t="s">
        <v>19</v>
      </c>
      <c r="E63" s="5" t="s">
        <v>20</v>
      </c>
      <c r="F63" s="5" t="s">
        <v>21</v>
      </c>
      <c r="G63" s="5" t="s">
        <v>22</v>
      </c>
    </row>
    <row r="64" spans="1:7" x14ac:dyDescent="0.3">
      <c r="B64" s="2" t="s">
        <v>0</v>
      </c>
      <c r="C64" s="1">
        <v>90.89</v>
      </c>
      <c r="D64" s="1">
        <v>88.98</v>
      </c>
      <c r="E64" s="1">
        <v>87.03</v>
      </c>
      <c r="F64" s="1">
        <v>84.79</v>
      </c>
      <c r="G64" s="1">
        <v>84.98</v>
      </c>
    </row>
    <row r="65" spans="2:7" x14ac:dyDescent="0.3">
      <c r="B65" s="2" t="s">
        <v>1</v>
      </c>
      <c r="C65" s="1">
        <v>86.15</v>
      </c>
      <c r="D65" s="1">
        <v>84.67</v>
      </c>
      <c r="E65" s="1">
        <v>83.31</v>
      </c>
      <c r="F65" s="1">
        <v>82.23</v>
      </c>
      <c r="G65" s="1">
        <v>82.69</v>
      </c>
    </row>
    <row r="66" spans="2:7" x14ac:dyDescent="0.3">
      <c r="B66" s="2" t="s">
        <v>2</v>
      </c>
      <c r="C66" s="1">
        <v>89.84</v>
      </c>
      <c r="D66" s="1">
        <v>87.91</v>
      </c>
      <c r="E66" s="1">
        <v>84.93</v>
      </c>
      <c r="F66" s="1">
        <v>82.77</v>
      </c>
      <c r="G66" s="1">
        <v>82.9</v>
      </c>
    </row>
    <row r="67" spans="2:7" x14ac:dyDescent="0.3">
      <c r="B67" s="2" t="s">
        <v>3</v>
      </c>
      <c r="C67" s="1">
        <v>88.01</v>
      </c>
      <c r="D67" s="1">
        <v>85.93</v>
      </c>
      <c r="E67" s="1">
        <v>83.4</v>
      </c>
      <c r="F67" s="1">
        <v>80.48</v>
      </c>
      <c r="G67" s="1">
        <v>80.88</v>
      </c>
    </row>
    <row r="68" spans="2:7" x14ac:dyDescent="0.3">
      <c r="B68" s="2" t="s">
        <v>4</v>
      </c>
      <c r="C68" s="1">
        <v>89.48</v>
      </c>
      <c r="D68" s="1">
        <v>87.96</v>
      </c>
      <c r="E68" s="1">
        <v>86.24</v>
      </c>
      <c r="F68" s="1">
        <v>84.4</v>
      </c>
      <c r="G68" s="1">
        <v>84.32</v>
      </c>
    </row>
    <row r="69" spans="2:7" x14ac:dyDescent="0.3">
      <c r="B69" s="7" t="s">
        <v>5</v>
      </c>
      <c r="C69" s="1">
        <v>86.83</v>
      </c>
      <c r="D69" s="1">
        <v>85.01</v>
      </c>
      <c r="E69" s="1">
        <v>83.09</v>
      </c>
      <c r="F69" s="1">
        <v>81.47</v>
      </c>
      <c r="G69" s="1">
        <v>81.760000000000005</v>
      </c>
    </row>
    <row r="70" spans="2:7" x14ac:dyDescent="0.3">
      <c r="B70" s="7" t="s">
        <v>6</v>
      </c>
      <c r="C70" s="1">
        <v>90.03</v>
      </c>
      <c r="D70" s="1">
        <v>87.97</v>
      </c>
      <c r="E70" s="1">
        <v>84.89</v>
      </c>
      <c r="F70" s="1">
        <v>81.87</v>
      </c>
      <c r="G70" s="1">
        <v>82.02</v>
      </c>
    </row>
    <row r="71" spans="2:7" x14ac:dyDescent="0.3">
      <c r="B71" s="7" t="s">
        <v>7</v>
      </c>
      <c r="C71" s="1">
        <v>90.3</v>
      </c>
      <c r="D71" s="1">
        <v>88.31</v>
      </c>
      <c r="E71" s="1">
        <v>86.58</v>
      </c>
      <c r="F71" s="1">
        <v>84.39</v>
      </c>
      <c r="G71" s="1">
        <v>84.15</v>
      </c>
    </row>
    <row r="72" spans="2:7" x14ac:dyDescent="0.3">
      <c r="B72" s="7" t="s">
        <v>8</v>
      </c>
      <c r="C72" s="1">
        <v>90.94</v>
      </c>
      <c r="D72" s="1">
        <v>89.3</v>
      </c>
      <c r="E72" s="1">
        <v>87.57</v>
      </c>
      <c r="F72" s="1">
        <v>86.3</v>
      </c>
      <c r="G72" s="1">
        <v>86.63</v>
      </c>
    </row>
    <row r="73" spans="2:7" x14ac:dyDescent="0.3">
      <c r="B73" s="7" t="s">
        <v>9</v>
      </c>
      <c r="C73" s="1">
        <v>87.03</v>
      </c>
      <c r="D73" s="1">
        <v>85.55</v>
      </c>
      <c r="E73" s="1">
        <v>83.14</v>
      </c>
      <c r="F73" s="1">
        <v>81.56</v>
      </c>
      <c r="G73" s="1">
        <v>82.46</v>
      </c>
    </row>
    <row r="74" spans="2:7" x14ac:dyDescent="0.3">
      <c r="B74" s="13" t="s">
        <v>25</v>
      </c>
      <c r="C74" s="2">
        <f>AVERAGE(C64:C73)</f>
        <v>88.95</v>
      </c>
      <c r="D74" s="2">
        <f t="shared" ref="D74:G74" si="0">AVERAGE(D64:D73)</f>
        <v>87.158999999999992</v>
      </c>
      <c r="E74" s="2">
        <f t="shared" si="0"/>
        <v>85.018000000000001</v>
      </c>
      <c r="F74" s="2">
        <f t="shared" si="0"/>
        <v>83.025999999999996</v>
      </c>
      <c r="G74" s="2">
        <f t="shared" si="0"/>
        <v>83.279000000000011</v>
      </c>
    </row>
  </sheetData>
  <phoneticPr fontId="1" type="noConversion"/>
  <pageMargins left="0.7" right="0.7" top="0.75" bottom="0.75" header="0.3" footer="0.3"/>
  <pageSetup orientation="portrait" horizontalDpi="4294967292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461D-38C5-4C45-90DA-1EAEAE7999FC}">
  <dimension ref="A1:D186"/>
  <sheetViews>
    <sheetView tabSelected="1" topLeftCell="A13" workbookViewId="0">
      <selection activeCell="E2" sqref="E2"/>
    </sheetView>
  </sheetViews>
  <sheetFormatPr defaultRowHeight="14.4" x14ac:dyDescent="0.3"/>
  <cols>
    <col min="1" max="1" width="35.6640625" customWidth="1"/>
    <col min="2" max="2" width="44.5546875" customWidth="1"/>
    <col min="3" max="3" width="50.6640625" customWidth="1"/>
    <col min="4" max="4" width="43.109375" customWidth="1"/>
    <col min="5" max="5" width="29.21875" customWidth="1"/>
  </cols>
  <sheetData>
    <row r="1" spans="1:4" x14ac:dyDescent="0.3">
      <c r="A1" s="12" t="s">
        <v>11</v>
      </c>
      <c r="B1" s="12" t="s">
        <v>13</v>
      </c>
      <c r="C1" s="12" t="s">
        <v>34</v>
      </c>
      <c r="D1" s="12" t="s">
        <v>35</v>
      </c>
    </row>
    <row r="2" spans="1:4" x14ac:dyDescent="0.3">
      <c r="A2" s="2" t="s">
        <v>0</v>
      </c>
      <c r="B2" s="1" t="s">
        <v>10</v>
      </c>
      <c r="C2" s="1">
        <v>35.079898</v>
      </c>
      <c r="D2" s="1">
        <v>45.569080999999997</v>
      </c>
    </row>
    <row r="3" spans="1:4" x14ac:dyDescent="0.3">
      <c r="A3" s="1"/>
      <c r="B3" s="1" t="s">
        <v>12</v>
      </c>
      <c r="C3" s="1">
        <v>46.003312999999999</v>
      </c>
      <c r="D3" s="1">
        <v>53.078471999999998</v>
      </c>
    </row>
    <row r="4" spans="1:4" x14ac:dyDescent="0.3">
      <c r="A4" s="2" t="s">
        <v>1</v>
      </c>
      <c r="B4" s="1" t="s">
        <v>10</v>
      </c>
      <c r="C4" s="1">
        <v>30.109658</v>
      </c>
      <c r="D4" s="1">
        <v>39.883955999999998</v>
      </c>
    </row>
    <row r="5" spans="1:4" x14ac:dyDescent="0.3">
      <c r="A5" s="1"/>
      <c r="B5" s="1" t="s">
        <v>12</v>
      </c>
      <c r="C5" s="1">
        <v>40.224088000000002</v>
      </c>
      <c r="D5" s="1">
        <v>47.123232999999999</v>
      </c>
    </row>
    <row r="6" spans="1:4" x14ac:dyDescent="0.3">
      <c r="A6" s="2" t="s">
        <v>2</v>
      </c>
      <c r="B6" s="1" t="s">
        <v>10</v>
      </c>
      <c r="C6" s="1">
        <v>41.25112</v>
      </c>
      <c r="D6" s="1">
        <v>50.298054</v>
      </c>
    </row>
    <row r="7" spans="1:4" x14ac:dyDescent="0.3">
      <c r="A7" s="1"/>
      <c r="B7" s="1" t="s">
        <v>12</v>
      </c>
      <c r="C7" s="1">
        <v>52.966116</v>
      </c>
      <c r="D7" s="1">
        <v>58.397385999999997</v>
      </c>
    </row>
    <row r="8" spans="1:4" x14ac:dyDescent="0.3">
      <c r="A8" s="2" t="s">
        <v>3</v>
      </c>
      <c r="B8" s="1" t="s">
        <v>10</v>
      </c>
      <c r="C8" s="1">
        <v>43.091825999999998</v>
      </c>
      <c r="D8" s="1">
        <v>51.774287000000001</v>
      </c>
    </row>
    <row r="9" spans="1:4" x14ac:dyDescent="0.3">
      <c r="A9" s="1"/>
      <c r="B9" s="1" t="s">
        <v>12</v>
      </c>
      <c r="C9" s="1">
        <v>52.534962999999998</v>
      </c>
      <c r="D9" s="1">
        <v>58.129545999999998</v>
      </c>
    </row>
    <row r="10" spans="1:4" x14ac:dyDescent="0.3">
      <c r="A10" s="2" t="s">
        <v>4</v>
      </c>
      <c r="B10" s="1" t="s">
        <v>10</v>
      </c>
      <c r="C10" s="1">
        <v>46.12397</v>
      </c>
      <c r="D10" s="1">
        <v>54.074801999999998</v>
      </c>
    </row>
    <row r="11" spans="1:4" x14ac:dyDescent="0.3">
      <c r="A11" s="1"/>
      <c r="B11" s="1" t="s">
        <v>12</v>
      </c>
      <c r="C11" s="1">
        <v>55.820672000000002</v>
      </c>
      <c r="D11" s="1">
        <v>60.452891999999999</v>
      </c>
    </row>
    <row r="12" spans="1:4" x14ac:dyDescent="0.3">
      <c r="A12" s="7" t="s">
        <v>5</v>
      </c>
      <c r="B12" s="1" t="s">
        <v>10</v>
      </c>
      <c r="C12" s="1">
        <v>35.100074999999997</v>
      </c>
      <c r="D12" s="1">
        <v>45.076763999999997</v>
      </c>
    </row>
    <row r="13" spans="1:4" x14ac:dyDescent="0.3">
      <c r="A13" s="1"/>
      <c r="B13" s="1" t="s">
        <v>12</v>
      </c>
      <c r="C13" s="1">
        <v>45.106363999999999</v>
      </c>
      <c r="D13" s="1">
        <v>52.026009999999999</v>
      </c>
    </row>
    <row r="14" spans="1:4" x14ac:dyDescent="0.3">
      <c r="A14" s="7" t="s">
        <v>6</v>
      </c>
      <c r="B14" s="1" t="s">
        <v>10</v>
      </c>
      <c r="C14" s="1">
        <v>43.770767999999997</v>
      </c>
      <c r="D14" s="1">
        <v>52.531061000000001</v>
      </c>
    </row>
    <row r="15" spans="1:4" x14ac:dyDescent="0.3">
      <c r="A15" s="1"/>
      <c r="B15" s="1" t="s">
        <v>12</v>
      </c>
      <c r="C15" s="1">
        <v>53.093483999999997</v>
      </c>
      <c r="D15" s="1">
        <v>58.470553000000002</v>
      </c>
    </row>
    <row r="16" spans="1:4" x14ac:dyDescent="0.3">
      <c r="A16" s="7" t="s">
        <v>7</v>
      </c>
      <c r="B16" s="1" t="s">
        <v>10</v>
      </c>
      <c r="C16" s="1">
        <v>31.486447999999999</v>
      </c>
      <c r="D16" s="1">
        <v>42.800572000000003</v>
      </c>
    </row>
    <row r="17" spans="1:4" x14ac:dyDescent="0.3">
      <c r="A17" s="1"/>
      <c r="B17" s="1" t="s">
        <v>12</v>
      </c>
      <c r="C17" s="1">
        <v>42.765090000000001</v>
      </c>
      <c r="D17" s="1">
        <v>50.689027000000003</v>
      </c>
    </row>
    <row r="18" spans="1:4" x14ac:dyDescent="0.3">
      <c r="A18" s="7" t="s">
        <v>8</v>
      </c>
      <c r="B18" s="1" t="s">
        <v>10</v>
      </c>
      <c r="C18" s="1">
        <v>35.584707000000002</v>
      </c>
      <c r="D18" s="1">
        <v>46.158383999999998</v>
      </c>
    </row>
    <row r="19" spans="1:4" x14ac:dyDescent="0.3">
      <c r="A19" s="1"/>
      <c r="B19" s="1" t="s">
        <v>12</v>
      </c>
      <c r="C19" s="1">
        <v>46.302230000000002</v>
      </c>
      <c r="D19" s="1">
        <v>53.664166000000002</v>
      </c>
    </row>
    <row r="20" spans="1:4" x14ac:dyDescent="0.3">
      <c r="A20" s="7" t="s">
        <v>9</v>
      </c>
      <c r="B20" s="1" t="s">
        <v>10</v>
      </c>
      <c r="C20" s="1">
        <v>32.578257999999998</v>
      </c>
      <c r="D20" s="1">
        <v>42.085501999999998</v>
      </c>
    </row>
    <row r="21" spans="1:4" x14ac:dyDescent="0.3">
      <c r="A21" s="1"/>
      <c r="B21" s="1" t="s">
        <v>12</v>
      </c>
      <c r="C21" s="1">
        <v>41.889527999999999</v>
      </c>
      <c r="D21" s="1">
        <v>49.014713</v>
      </c>
    </row>
    <row r="22" spans="1:4" x14ac:dyDescent="0.3">
      <c r="A22" s="1"/>
      <c r="B22" s="13" t="s">
        <v>26</v>
      </c>
      <c r="C22" s="2">
        <f>AVERAGE(C2:C21)</f>
        <v>42.544128799999996</v>
      </c>
      <c r="D22" s="2">
        <f>AVERAGE(D2:D21)</f>
        <v>50.564923050000004</v>
      </c>
    </row>
    <row r="23" spans="1:4" x14ac:dyDescent="0.3">
      <c r="A23" s="1"/>
      <c r="B23" s="13" t="s">
        <v>27</v>
      </c>
      <c r="C23" s="2">
        <f>AVERAGE(C2,C4,C6,C8,C10,C12,C14,C16,C18,C20)</f>
        <v>37.417672799999998</v>
      </c>
      <c r="D23" s="2">
        <f>AVERAGE(D2,D4,D6,D8,D10,D12,D14,D16,D18,D20)</f>
        <v>47.025246300000006</v>
      </c>
    </row>
    <row r="24" spans="1:4" x14ac:dyDescent="0.3">
      <c r="A24" s="1"/>
      <c r="B24" s="13" t="s">
        <v>28</v>
      </c>
      <c r="C24" s="2">
        <f>AVERAGE(C3,C5,C7,C9,C11,C13,C15,C17,C19,C21)</f>
        <v>47.670584799999993</v>
      </c>
      <c r="D24" s="2">
        <f>AVERAGE(D3,D5,D7,D9,D11,D13,D15,D17,D19,D21)</f>
        <v>54.104599800000003</v>
      </c>
    </row>
    <row r="25" spans="1:4" x14ac:dyDescent="0.3">
      <c r="A25" s="1"/>
      <c r="B25" s="1"/>
      <c r="C25" s="1"/>
      <c r="D25" s="4"/>
    </row>
    <row r="26" spans="1:4" x14ac:dyDescent="0.3">
      <c r="A26" s="2" t="s">
        <v>0</v>
      </c>
      <c r="B26" s="1" t="s">
        <v>14</v>
      </c>
      <c r="C26" s="1">
        <v>60.660594000000003</v>
      </c>
      <c r="D26" s="1">
        <v>61.437435999999998</v>
      </c>
    </row>
    <row r="27" spans="1:4" x14ac:dyDescent="0.3">
      <c r="A27" s="1"/>
      <c r="B27" s="1" t="s">
        <v>15</v>
      </c>
      <c r="C27" s="1">
        <v>63.900117999999999</v>
      </c>
      <c r="D27" s="1">
        <v>64.310450000000003</v>
      </c>
    </row>
    <row r="28" spans="1:4" x14ac:dyDescent="0.3">
      <c r="A28" s="2" t="s">
        <v>1</v>
      </c>
      <c r="B28" s="1" t="s">
        <v>14</v>
      </c>
      <c r="C28" s="1">
        <v>53.339979999999997</v>
      </c>
      <c r="D28" s="1">
        <v>54.041116000000002</v>
      </c>
    </row>
    <row r="29" spans="1:4" x14ac:dyDescent="0.3">
      <c r="A29" s="1"/>
      <c r="B29" s="1" t="s">
        <v>15</v>
      </c>
      <c r="C29" s="1">
        <v>57.333730000000003</v>
      </c>
      <c r="D29" s="1">
        <v>57.543984999999999</v>
      </c>
    </row>
    <row r="30" spans="1:4" x14ac:dyDescent="0.3">
      <c r="A30" s="2" t="s">
        <v>2</v>
      </c>
      <c r="B30" s="1" t="s">
        <v>14</v>
      </c>
      <c r="C30" s="1">
        <v>64.340960999999993</v>
      </c>
      <c r="D30" s="1">
        <v>65.024618000000004</v>
      </c>
    </row>
    <row r="31" spans="1:4" x14ac:dyDescent="0.3">
      <c r="A31" s="1"/>
      <c r="B31" s="1" t="s">
        <v>15</v>
      </c>
      <c r="C31" s="1">
        <v>67.038742999999997</v>
      </c>
      <c r="D31" s="1">
        <v>67.346991000000003</v>
      </c>
    </row>
    <row r="32" spans="1:4" x14ac:dyDescent="0.3">
      <c r="A32" s="2" t="s">
        <v>3</v>
      </c>
      <c r="B32" s="1" t="s">
        <v>14</v>
      </c>
      <c r="C32" s="1">
        <v>63.667276999999999</v>
      </c>
      <c r="D32" s="1">
        <v>64.294449999999998</v>
      </c>
    </row>
    <row r="33" spans="1:4" x14ac:dyDescent="0.3">
      <c r="A33" s="1"/>
      <c r="B33" s="1" t="s">
        <v>15</v>
      </c>
      <c r="C33" s="1">
        <v>66.236180000000004</v>
      </c>
      <c r="D33" s="1">
        <v>66.538032000000001</v>
      </c>
    </row>
    <row r="34" spans="1:4" x14ac:dyDescent="0.3">
      <c r="A34" s="2" t="s">
        <v>4</v>
      </c>
      <c r="B34" s="1" t="s">
        <v>14</v>
      </c>
      <c r="C34" s="1">
        <v>65.258627000000004</v>
      </c>
      <c r="D34" s="1">
        <v>65.749618999999996</v>
      </c>
    </row>
    <row r="35" spans="1:4" x14ac:dyDescent="0.3">
      <c r="A35" s="1"/>
      <c r="B35" s="1" t="s">
        <v>15</v>
      </c>
      <c r="C35" s="1">
        <v>67.515970999999993</v>
      </c>
      <c r="D35" s="1">
        <v>67.711804000000001</v>
      </c>
    </row>
    <row r="36" spans="1:4" x14ac:dyDescent="0.3">
      <c r="A36" s="7" t="s">
        <v>5</v>
      </c>
      <c r="B36" s="1" t="s">
        <v>14</v>
      </c>
      <c r="C36" s="1">
        <v>59.230592000000001</v>
      </c>
      <c r="D36" s="1">
        <v>59.964661</v>
      </c>
    </row>
    <row r="37" spans="1:4" x14ac:dyDescent="0.3">
      <c r="A37" s="1"/>
      <c r="B37" s="1" t="s">
        <v>15</v>
      </c>
      <c r="C37" s="1">
        <v>62.524020999999998</v>
      </c>
      <c r="D37" s="1">
        <v>62.870908</v>
      </c>
    </row>
    <row r="38" spans="1:4" x14ac:dyDescent="0.3">
      <c r="A38" s="7" t="s">
        <v>6</v>
      </c>
      <c r="B38" s="1" t="s">
        <v>14</v>
      </c>
      <c r="C38" s="1">
        <v>63.618043999999998</v>
      </c>
      <c r="D38" s="1">
        <v>64.321271999999993</v>
      </c>
    </row>
    <row r="39" spans="1:4" x14ac:dyDescent="0.3">
      <c r="A39" s="1"/>
      <c r="B39" s="1" t="s">
        <v>15</v>
      </c>
      <c r="C39" s="1">
        <v>66.112234000000001</v>
      </c>
      <c r="D39" s="1">
        <v>66.499083999999996</v>
      </c>
    </row>
    <row r="40" spans="1:4" x14ac:dyDescent="0.3">
      <c r="A40" s="7" t="s">
        <v>7</v>
      </c>
      <c r="B40" s="1" t="s">
        <v>14</v>
      </c>
      <c r="C40" s="1">
        <v>59.238177</v>
      </c>
      <c r="D40" s="1">
        <v>60.151485000000001</v>
      </c>
    </row>
    <row r="41" spans="1:4" x14ac:dyDescent="0.3">
      <c r="A41" s="1"/>
      <c r="B41" s="1" t="s">
        <v>15</v>
      </c>
      <c r="C41" s="1">
        <v>63.041763000000003</v>
      </c>
      <c r="D41" s="1">
        <v>63.499428999999999</v>
      </c>
    </row>
    <row r="42" spans="1:4" x14ac:dyDescent="0.3">
      <c r="A42" s="7" t="s">
        <v>8</v>
      </c>
      <c r="B42" s="1" t="s">
        <v>14</v>
      </c>
      <c r="C42" s="1">
        <v>60.551223</v>
      </c>
      <c r="D42" s="1">
        <v>61.317759000000002</v>
      </c>
    </row>
    <row r="43" spans="1:4" x14ac:dyDescent="0.3">
      <c r="A43" s="1"/>
      <c r="B43" s="1" t="s">
        <v>15</v>
      </c>
      <c r="C43" s="1">
        <v>63.605072</v>
      </c>
      <c r="D43" s="1">
        <v>63.973101999999997</v>
      </c>
    </row>
    <row r="44" spans="1:4" x14ac:dyDescent="0.3">
      <c r="A44" s="7" t="s">
        <v>9</v>
      </c>
      <c r="B44" s="1" t="s">
        <v>14</v>
      </c>
      <c r="C44" s="1">
        <v>56.065567000000001</v>
      </c>
      <c r="D44" s="1">
        <v>56.699137</v>
      </c>
    </row>
    <row r="45" spans="1:4" x14ac:dyDescent="0.3">
      <c r="A45" s="1"/>
      <c r="B45" s="1" t="s">
        <v>15</v>
      </c>
      <c r="C45" s="1">
        <v>59.582956000000003</v>
      </c>
      <c r="D45" s="1">
        <v>59.810456000000002</v>
      </c>
    </row>
    <row r="46" spans="1:4" x14ac:dyDescent="0.3">
      <c r="A46" s="1"/>
      <c r="B46" s="13" t="s">
        <v>25</v>
      </c>
      <c r="C46" s="2">
        <f>AVERAGE(C26:C45)</f>
        <v>62.14309149999999</v>
      </c>
      <c r="D46" s="2">
        <f>AVERAGE(D26:D45)</f>
        <v>62.65528969999999</v>
      </c>
    </row>
    <row r="47" spans="1:4" x14ac:dyDescent="0.3">
      <c r="A47" s="1"/>
      <c r="B47" s="13" t="s">
        <v>27</v>
      </c>
      <c r="C47" s="2">
        <f>AVERAGE(C26,C28,C30,C32,C34,C36,C38,C40,C42,C44)</f>
        <v>60.597104200000004</v>
      </c>
      <c r="D47" s="2">
        <f>AVERAGE(D26,D28,D30,D32,D34,D36,D38,D40,D42,D44)</f>
        <v>61.300155299999993</v>
      </c>
    </row>
    <row r="48" spans="1:4" x14ac:dyDescent="0.3">
      <c r="A48" s="1"/>
      <c r="B48" s="13" t="s">
        <v>28</v>
      </c>
      <c r="C48" s="2">
        <f>AVERAGE(C27,C29,C31,C33,C35,C37,C39,C41,C43,C45)</f>
        <v>63.689078799999983</v>
      </c>
      <c r="D48" s="2">
        <f>AVERAGE(D27,D29,D31,D33,D35,D37,D39,D41,D43,D45)</f>
        <v>64.010424100000009</v>
      </c>
    </row>
    <row r="49" spans="1:4" x14ac:dyDescent="0.3">
      <c r="A49" s="2" t="s">
        <v>0</v>
      </c>
      <c r="B49" s="1" t="s">
        <v>16</v>
      </c>
      <c r="C49" s="1">
        <v>3.1066660000000001</v>
      </c>
      <c r="D49" s="1">
        <v>32.287911999999999</v>
      </c>
    </row>
    <row r="50" spans="1:4" x14ac:dyDescent="0.3">
      <c r="A50" s="2" t="s">
        <v>1</v>
      </c>
      <c r="B50" s="1" t="s">
        <v>16</v>
      </c>
      <c r="C50" s="1">
        <v>0.127499</v>
      </c>
      <c r="D50" s="1">
        <v>25.855395000000001</v>
      </c>
    </row>
    <row r="51" spans="1:4" x14ac:dyDescent="0.3">
      <c r="A51" s="2" t="s">
        <v>2</v>
      </c>
      <c r="B51" s="1" t="s">
        <v>16</v>
      </c>
      <c r="C51" s="1">
        <v>7.0823689999999999</v>
      </c>
      <c r="D51" s="1">
        <v>34.763044999999998</v>
      </c>
    </row>
    <row r="52" spans="1:4" x14ac:dyDescent="0.3">
      <c r="A52" s="2" t="s">
        <v>3</v>
      </c>
      <c r="B52" s="1" t="s">
        <v>16</v>
      </c>
      <c r="C52" s="1">
        <v>11.112002</v>
      </c>
      <c r="D52" s="1">
        <v>39.341563000000001</v>
      </c>
    </row>
    <row r="53" spans="1:4" x14ac:dyDescent="0.3">
      <c r="A53" s="2" t="s">
        <v>4</v>
      </c>
      <c r="B53" s="1" t="s">
        <v>16</v>
      </c>
      <c r="C53" s="1">
        <v>11.256771000000001</v>
      </c>
      <c r="D53" s="1">
        <v>40.576870999999997</v>
      </c>
    </row>
    <row r="54" spans="1:4" x14ac:dyDescent="0.3">
      <c r="A54" s="7" t="s">
        <v>5</v>
      </c>
      <c r="B54" s="1" t="s">
        <v>16</v>
      </c>
      <c r="C54" s="1">
        <v>5.4461190000000004</v>
      </c>
      <c r="D54" s="1">
        <v>31.574418999999999</v>
      </c>
    </row>
    <row r="55" spans="1:4" x14ac:dyDescent="0.3">
      <c r="A55" s="7" t="s">
        <v>6</v>
      </c>
      <c r="B55" s="1" t="s">
        <v>16</v>
      </c>
      <c r="C55" s="1">
        <v>8.9400580000000005</v>
      </c>
      <c r="D55" s="1">
        <v>38.336353000000003</v>
      </c>
    </row>
    <row r="56" spans="1:4" x14ac:dyDescent="0.3">
      <c r="A56" s="7" t="s">
        <v>7</v>
      </c>
      <c r="B56" s="1" t="s">
        <v>16</v>
      </c>
      <c r="C56" s="1">
        <v>1.6150260000000001</v>
      </c>
      <c r="D56" s="1">
        <v>29.905370999999999</v>
      </c>
    </row>
    <row r="57" spans="1:4" x14ac:dyDescent="0.3">
      <c r="A57" s="7" t="s">
        <v>8</v>
      </c>
      <c r="B57" s="1" t="s">
        <v>16</v>
      </c>
      <c r="C57" s="1">
        <v>2.1154600000000001</v>
      </c>
      <c r="D57" s="1">
        <v>30.739094000000001</v>
      </c>
    </row>
    <row r="58" spans="1:4" x14ac:dyDescent="0.3">
      <c r="A58" s="7" t="s">
        <v>9</v>
      </c>
      <c r="B58" s="1" t="s">
        <v>16</v>
      </c>
      <c r="C58" s="1">
        <v>8.2042870000000008</v>
      </c>
      <c r="D58" s="1">
        <v>29.553592999999999</v>
      </c>
    </row>
    <row r="59" spans="1:4" x14ac:dyDescent="0.3">
      <c r="A59" s="1"/>
      <c r="B59" s="13" t="s">
        <v>25</v>
      </c>
      <c r="C59" s="2">
        <f>AVERAGE(C49:C58)</f>
        <v>5.9006257000000009</v>
      </c>
      <c r="D59" s="2">
        <f>AVERAGE(D49:D58)</f>
        <v>33.293361600000004</v>
      </c>
    </row>
    <row r="61" spans="1:4" x14ac:dyDescent="0.3">
      <c r="B61" s="8"/>
      <c r="C61" s="14" t="s">
        <v>30</v>
      </c>
      <c r="D61" s="14" t="s">
        <v>31</v>
      </c>
    </row>
    <row r="62" spans="1:4" x14ac:dyDescent="0.3">
      <c r="B62" s="14" t="s">
        <v>29</v>
      </c>
      <c r="C62" s="3">
        <f>AVERAGE(C2:C21,C26:C45,C49:C58)</f>
        <v>43.055013260000017</v>
      </c>
      <c r="D62" s="3">
        <f>AVERAGE(D2:D21,D26:D45,D49:D58)</f>
        <v>51.946757420000004</v>
      </c>
    </row>
    <row r="63" spans="1:4" x14ac:dyDescent="0.3">
      <c r="A63" s="12" t="s">
        <v>11</v>
      </c>
      <c r="B63" s="12" t="s">
        <v>13</v>
      </c>
      <c r="C63" s="12" t="s">
        <v>36</v>
      </c>
      <c r="D63" s="12" t="s">
        <v>37</v>
      </c>
    </row>
    <row r="64" spans="1:4" x14ac:dyDescent="0.3">
      <c r="A64" s="2" t="s">
        <v>0</v>
      </c>
      <c r="B64" s="1" t="s">
        <v>10</v>
      </c>
      <c r="C64" s="1">
        <v>17.953931000000001</v>
      </c>
      <c r="D64" s="1">
        <v>27.455431999999998</v>
      </c>
    </row>
    <row r="65" spans="1:4" x14ac:dyDescent="0.3">
      <c r="A65" s="1"/>
      <c r="B65" s="1" t="s">
        <v>12</v>
      </c>
      <c r="C65" s="1">
        <v>28.126608999999998</v>
      </c>
      <c r="D65" s="1">
        <v>34.132980000000003</v>
      </c>
    </row>
    <row r="66" spans="1:4" x14ac:dyDescent="0.3">
      <c r="A66" s="2" t="s">
        <v>1</v>
      </c>
      <c r="B66" s="1" t="s">
        <v>10</v>
      </c>
      <c r="C66" s="1">
        <v>14.727675</v>
      </c>
      <c r="D66" s="1">
        <v>23.414097000000002</v>
      </c>
    </row>
    <row r="67" spans="1:4" x14ac:dyDescent="0.3">
      <c r="A67" s="1"/>
      <c r="B67" s="1" t="s">
        <v>12</v>
      </c>
      <c r="C67" s="1">
        <v>24.36721</v>
      </c>
      <c r="D67" s="1">
        <v>30.132176000000001</v>
      </c>
    </row>
    <row r="68" spans="1:4" x14ac:dyDescent="0.3">
      <c r="A68" s="2" t="s">
        <v>2</v>
      </c>
      <c r="B68" s="1" t="s">
        <v>10</v>
      </c>
      <c r="C68" s="1">
        <v>24.780359000000001</v>
      </c>
      <c r="D68" s="1">
        <v>32.521127</v>
      </c>
    </row>
    <row r="69" spans="1:4" x14ac:dyDescent="0.3">
      <c r="A69" s="1"/>
      <c r="B69" s="1" t="s">
        <v>12</v>
      </c>
      <c r="C69" s="1">
        <v>35.228403</v>
      </c>
      <c r="D69" s="1">
        <v>39.356050000000003</v>
      </c>
    </row>
    <row r="70" spans="1:4" x14ac:dyDescent="0.3">
      <c r="A70" s="2" t="s">
        <v>3</v>
      </c>
      <c r="B70" s="1" t="s">
        <v>10</v>
      </c>
      <c r="C70" s="1">
        <v>25.205997</v>
      </c>
      <c r="D70" s="1">
        <v>32.881048999999997</v>
      </c>
    </row>
    <row r="71" spans="1:4" x14ac:dyDescent="0.3">
      <c r="A71" s="1"/>
      <c r="B71" s="1" t="s">
        <v>12</v>
      </c>
      <c r="C71" s="1">
        <v>33.734132000000002</v>
      </c>
      <c r="D71" s="1">
        <v>38.336548999999998</v>
      </c>
    </row>
    <row r="72" spans="1:4" x14ac:dyDescent="0.3">
      <c r="A72" s="2" t="s">
        <v>4</v>
      </c>
      <c r="B72" s="1" t="s">
        <v>10</v>
      </c>
      <c r="C72" s="1">
        <v>28.399007000000001</v>
      </c>
      <c r="D72" s="1">
        <v>35.159056999999997</v>
      </c>
    </row>
    <row r="73" spans="1:4" x14ac:dyDescent="0.3">
      <c r="A73" s="1"/>
      <c r="B73" s="1" t="s">
        <v>12</v>
      </c>
      <c r="C73" s="1">
        <v>36.890594999999998</v>
      </c>
      <c r="D73" s="1">
        <v>40.456657999999997</v>
      </c>
    </row>
    <row r="74" spans="1:4" x14ac:dyDescent="0.3">
      <c r="A74" s="7" t="s">
        <v>5</v>
      </c>
      <c r="B74" s="1" t="s">
        <v>10</v>
      </c>
      <c r="C74" s="1">
        <v>19.392163</v>
      </c>
      <c r="D74" s="1">
        <v>28.174163</v>
      </c>
    </row>
    <row r="75" spans="1:4" x14ac:dyDescent="0.3">
      <c r="A75" s="1"/>
      <c r="B75" s="1" t="s">
        <v>12</v>
      </c>
      <c r="C75" s="1">
        <v>28.584122000000001</v>
      </c>
      <c r="D75" s="1">
        <v>34.281267</v>
      </c>
    </row>
    <row r="76" spans="1:4" x14ac:dyDescent="0.3">
      <c r="A76" s="7" t="s">
        <v>6</v>
      </c>
      <c r="B76" s="1" t="s">
        <v>10</v>
      </c>
      <c r="C76" s="1">
        <v>25.572509</v>
      </c>
      <c r="D76" s="1">
        <v>33.679040000000001</v>
      </c>
    </row>
    <row r="77" spans="1:4" x14ac:dyDescent="0.3">
      <c r="A77" s="1"/>
      <c r="B77" s="1" t="s">
        <v>12</v>
      </c>
      <c r="C77" s="1">
        <v>34.226123000000001</v>
      </c>
      <c r="D77" s="1">
        <v>38.798847000000002</v>
      </c>
    </row>
    <row r="78" spans="1:4" x14ac:dyDescent="0.3">
      <c r="A78" s="7" t="s">
        <v>7</v>
      </c>
      <c r="B78" s="1" t="s">
        <v>10</v>
      </c>
      <c r="C78" s="1">
        <v>14.092815999999999</v>
      </c>
      <c r="D78" s="1">
        <v>24.702662</v>
      </c>
    </row>
    <row r="79" spans="1:4" x14ac:dyDescent="0.3">
      <c r="A79" s="1"/>
      <c r="B79" s="1" t="s">
        <v>12</v>
      </c>
      <c r="C79" s="1">
        <v>24.907747000000001</v>
      </c>
      <c r="D79" s="1">
        <v>31.945689999999999</v>
      </c>
    </row>
    <row r="80" spans="1:4" x14ac:dyDescent="0.3">
      <c r="A80" s="7" t="s">
        <v>8</v>
      </c>
      <c r="B80" s="1" t="s">
        <v>10</v>
      </c>
      <c r="C80" s="1">
        <v>18.487302</v>
      </c>
      <c r="D80" s="1">
        <v>28.061900999999999</v>
      </c>
    </row>
    <row r="81" spans="1:4" x14ac:dyDescent="0.3">
      <c r="A81" s="1"/>
      <c r="B81" s="1" t="s">
        <v>12</v>
      </c>
      <c r="C81" s="1">
        <v>28.240373000000002</v>
      </c>
      <c r="D81" s="1">
        <v>34.534748</v>
      </c>
    </row>
    <row r="82" spans="1:4" x14ac:dyDescent="0.3">
      <c r="A82" s="7" t="s">
        <v>9</v>
      </c>
      <c r="B82" s="1" t="s">
        <v>10</v>
      </c>
      <c r="C82" s="1">
        <v>17.554238999999999</v>
      </c>
      <c r="D82" s="1">
        <v>26.127687000000002</v>
      </c>
    </row>
    <row r="83" spans="1:4" x14ac:dyDescent="0.3">
      <c r="A83" s="1"/>
      <c r="B83" s="1" t="s">
        <v>12</v>
      </c>
      <c r="C83" s="1">
        <v>26.117011999999999</v>
      </c>
      <c r="D83" s="1">
        <v>32.276412999999998</v>
      </c>
    </row>
    <row r="84" spans="1:4" x14ac:dyDescent="0.3">
      <c r="A84" s="1"/>
      <c r="B84" s="13" t="s">
        <v>26</v>
      </c>
      <c r="C84" s="2">
        <f>AVERAGE(C64:C83)</f>
        <v>25.329416199999997</v>
      </c>
      <c r="D84" s="2">
        <f>AVERAGE(D64:D83)</f>
        <v>32.321379650000011</v>
      </c>
    </row>
    <row r="85" spans="1:4" x14ac:dyDescent="0.3">
      <c r="A85" s="1"/>
      <c r="B85" s="13" t="s">
        <v>27</v>
      </c>
      <c r="C85" s="2">
        <f>AVERAGE(C64,C66,C68,C70,C72,C74,C76,C78,C80,C82)</f>
        <v>20.616599799999999</v>
      </c>
      <c r="D85" s="2">
        <f>AVERAGE(D64,D66,D68,D70,D72,D74,D76,D78,D80,D82)</f>
        <v>29.217621499999996</v>
      </c>
    </row>
    <row r="86" spans="1:4" x14ac:dyDescent="0.3">
      <c r="A86" s="1"/>
      <c r="B86" s="13" t="s">
        <v>28</v>
      </c>
      <c r="C86" s="2">
        <f>AVERAGE(C65,C67,C69,C71,C73,C75,C77,C79,C81,C83)</f>
        <v>30.042232599999998</v>
      </c>
      <c r="D86" s="2">
        <f>AVERAGE(D65,D67,D69,D71,D73,D75,D77,D79,D81,D83)</f>
        <v>35.425137799999995</v>
      </c>
    </row>
    <row r="87" spans="1:4" x14ac:dyDescent="0.3">
      <c r="A87" s="1"/>
      <c r="B87" s="1"/>
      <c r="C87" s="1"/>
      <c r="D87" s="4"/>
    </row>
    <row r="88" spans="1:4" x14ac:dyDescent="0.3">
      <c r="A88" s="2" t="s">
        <v>0</v>
      </c>
      <c r="B88" s="1" t="s">
        <v>14</v>
      </c>
      <c r="C88" s="1">
        <v>40.220474000000003</v>
      </c>
      <c r="D88" s="1">
        <v>40.982008</v>
      </c>
    </row>
    <row r="89" spans="1:4" x14ac:dyDescent="0.3">
      <c r="A89" s="1"/>
      <c r="B89" s="1" t="s">
        <v>15</v>
      </c>
      <c r="C89" s="1">
        <v>42.727203000000003</v>
      </c>
      <c r="D89" s="1">
        <v>43.152278000000003</v>
      </c>
    </row>
    <row r="90" spans="1:4" x14ac:dyDescent="0.3">
      <c r="A90" s="2" t="s">
        <v>1</v>
      </c>
      <c r="B90" s="1" t="s">
        <v>14</v>
      </c>
      <c r="C90" s="1">
        <v>35.949863000000001</v>
      </c>
      <c r="D90" s="1">
        <v>36.531210999999999</v>
      </c>
    </row>
    <row r="91" spans="1:4" x14ac:dyDescent="0.3">
      <c r="A91" s="1"/>
      <c r="B91" s="1" t="s">
        <v>15</v>
      </c>
      <c r="C91" s="1">
        <v>38.835678999999999</v>
      </c>
      <c r="D91" s="1">
        <v>39.060675000000003</v>
      </c>
    </row>
    <row r="92" spans="1:4" x14ac:dyDescent="0.3">
      <c r="A92" s="2" t="s">
        <v>2</v>
      </c>
      <c r="B92" s="1" t="s">
        <v>14</v>
      </c>
      <c r="C92" s="1">
        <v>44.266606000000003</v>
      </c>
      <c r="D92" s="1">
        <v>44.806983000000002</v>
      </c>
    </row>
    <row r="93" spans="1:4" x14ac:dyDescent="0.3">
      <c r="A93" s="1"/>
      <c r="B93" s="1" t="s">
        <v>15</v>
      </c>
      <c r="C93" s="1">
        <v>46.067886000000001</v>
      </c>
      <c r="D93" s="1">
        <v>46.299447000000001</v>
      </c>
    </row>
    <row r="94" spans="1:4" x14ac:dyDescent="0.3">
      <c r="A94" s="2" t="s">
        <v>3</v>
      </c>
      <c r="B94" s="1" t="s">
        <v>14</v>
      </c>
      <c r="C94" s="1">
        <v>42.674930000000003</v>
      </c>
      <c r="D94" s="1">
        <v>43.283470999999999</v>
      </c>
    </row>
    <row r="95" spans="1:4" x14ac:dyDescent="0.3">
      <c r="A95" s="1"/>
      <c r="B95" s="1" t="s">
        <v>15</v>
      </c>
      <c r="C95" s="1">
        <v>44.598641000000001</v>
      </c>
      <c r="D95" s="1">
        <v>44.906295999999998</v>
      </c>
    </row>
    <row r="96" spans="1:4" x14ac:dyDescent="0.3">
      <c r="A96" s="2" t="s">
        <v>4</v>
      </c>
      <c r="B96" s="1" t="s">
        <v>14</v>
      </c>
      <c r="C96" s="1">
        <v>44.363275000000002</v>
      </c>
      <c r="D96" s="1">
        <v>44.781058000000002</v>
      </c>
    </row>
    <row r="97" spans="1:4" x14ac:dyDescent="0.3">
      <c r="A97" s="1"/>
      <c r="B97" s="1" t="s">
        <v>15</v>
      </c>
      <c r="C97" s="1">
        <v>45.890022000000002</v>
      </c>
      <c r="D97" s="1">
        <v>46.080258999999998</v>
      </c>
    </row>
    <row r="98" spans="1:4" x14ac:dyDescent="0.3">
      <c r="A98" s="7" t="s">
        <v>5</v>
      </c>
      <c r="B98" s="1" t="s">
        <v>14</v>
      </c>
      <c r="C98" s="1">
        <v>40.120541000000003</v>
      </c>
      <c r="D98" s="1">
        <v>40.837923000000004</v>
      </c>
    </row>
    <row r="99" spans="1:4" x14ac:dyDescent="0.3">
      <c r="A99" s="1"/>
      <c r="B99" s="1" t="s">
        <v>15</v>
      </c>
      <c r="C99" s="1">
        <v>42.478813000000002</v>
      </c>
      <c r="D99" s="1">
        <v>42.871115000000003</v>
      </c>
    </row>
    <row r="100" spans="1:4" x14ac:dyDescent="0.3">
      <c r="A100" s="7" t="s">
        <v>6</v>
      </c>
      <c r="B100" s="1" t="s">
        <v>14</v>
      </c>
      <c r="C100" s="1">
        <v>42.763947999999999</v>
      </c>
      <c r="D100" s="1">
        <v>43.478261000000003</v>
      </c>
    </row>
    <row r="101" spans="1:4" x14ac:dyDescent="0.3">
      <c r="A101" s="1"/>
      <c r="B101" s="1" t="s">
        <v>15</v>
      </c>
      <c r="C101" s="1">
        <v>44.584600999999999</v>
      </c>
      <c r="D101" s="1">
        <v>44.991081999999999</v>
      </c>
    </row>
    <row r="102" spans="1:4" x14ac:dyDescent="0.3">
      <c r="A102" s="7" t="s">
        <v>7</v>
      </c>
      <c r="B102" s="1" t="s">
        <v>14</v>
      </c>
      <c r="C102" s="1">
        <v>39.055855999999999</v>
      </c>
      <c r="D102" s="1">
        <v>39.992818999999997</v>
      </c>
    </row>
    <row r="103" spans="1:4" x14ac:dyDescent="0.3">
      <c r="A103" s="1"/>
      <c r="B103" s="1" t="s">
        <v>15</v>
      </c>
      <c r="C103" s="1">
        <v>42.061250000000001</v>
      </c>
      <c r="D103" s="1">
        <v>42.559252000000001</v>
      </c>
    </row>
    <row r="104" spans="1:4" x14ac:dyDescent="0.3">
      <c r="A104" s="7" t="s">
        <v>8</v>
      </c>
      <c r="B104" s="1" t="s">
        <v>14</v>
      </c>
      <c r="C104" s="1">
        <v>39.715429</v>
      </c>
      <c r="D104" s="1">
        <v>40.514893999999998</v>
      </c>
    </row>
    <row r="105" spans="1:4" x14ac:dyDescent="0.3">
      <c r="A105" s="1"/>
      <c r="B105" s="1" t="s">
        <v>15</v>
      </c>
      <c r="C105" s="1">
        <v>42.083292999999998</v>
      </c>
      <c r="D105" s="1">
        <v>42.518495999999999</v>
      </c>
    </row>
    <row r="106" spans="1:4" x14ac:dyDescent="0.3">
      <c r="A106" s="7" t="s">
        <v>9</v>
      </c>
      <c r="B106" s="1" t="s">
        <v>14</v>
      </c>
      <c r="C106" s="1">
        <v>37.516497000000001</v>
      </c>
      <c r="D106" s="1">
        <v>38.235627999999998</v>
      </c>
    </row>
    <row r="107" spans="1:4" x14ac:dyDescent="0.3">
      <c r="A107" s="1"/>
      <c r="B107" s="1" t="s">
        <v>15</v>
      </c>
      <c r="C107" s="1">
        <v>39.957762000000002</v>
      </c>
      <c r="D107" s="1">
        <v>40.321389000000003</v>
      </c>
    </row>
    <row r="108" spans="1:4" x14ac:dyDescent="0.3">
      <c r="A108" s="1"/>
      <c r="B108" s="13" t="s">
        <v>25</v>
      </c>
      <c r="C108" s="2">
        <f>AVERAGE(C88:C107)</f>
        <v>41.796628449999993</v>
      </c>
      <c r="D108" s="2">
        <f>AVERAGE(D88:D107)</f>
        <v>42.310227250000011</v>
      </c>
    </row>
    <row r="109" spans="1:4" x14ac:dyDescent="0.3">
      <c r="A109" s="1"/>
      <c r="B109" s="13" t="s">
        <v>27</v>
      </c>
      <c r="C109" s="2">
        <f>AVERAGE(C88,C90,C92,C94,C96,C98,C100,C102,C104,C106)</f>
        <v>40.66474190000001</v>
      </c>
      <c r="D109" s="2">
        <f>AVERAGE(D88,D90,D92,D94,D96,D98,D100,D102,D104,D106)</f>
        <v>41.344425600000001</v>
      </c>
    </row>
    <row r="110" spans="1:4" x14ac:dyDescent="0.3">
      <c r="A110" s="1"/>
      <c r="B110" s="13" t="s">
        <v>28</v>
      </c>
      <c r="C110" s="2">
        <f>AVERAGE(C89,C91,C93,C95,C97,C99,C101,C103,C105,C107)</f>
        <v>42.928515000000004</v>
      </c>
      <c r="D110" s="2">
        <f>AVERAGE(D89,D91,D93,D95,D97,D99,D101,D103,D105,D107)</f>
        <v>43.276028900000014</v>
      </c>
    </row>
    <row r="111" spans="1:4" x14ac:dyDescent="0.3">
      <c r="A111" s="2" t="s">
        <v>0</v>
      </c>
      <c r="B111" s="1" t="s">
        <v>16</v>
      </c>
      <c r="C111" s="1">
        <v>-5.3197809999999999</v>
      </c>
      <c r="D111" s="1">
        <v>19.17164</v>
      </c>
    </row>
    <row r="112" spans="1:4" x14ac:dyDescent="0.3">
      <c r="A112" s="2" t="s">
        <v>1</v>
      </c>
      <c r="B112" s="1" t="s">
        <v>16</v>
      </c>
      <c r="C112" s="1">
        <v>-7.0750039999999998</v>
      </c>
      <c r="D112" s="1">
        <v>14.50482</v>
      </c>
    </row>
    <row r="113" spans="1:4" x14ac:dyDescent="0.3">
      <c r="A113" s="2" t="s">
        <v>2</v>
      </c>
      <c r="B113" s="1" t="s">
        <v>16</v>
      </c>
      <c r="C113" s="1">
        <v>1.1544099999999999</v>
      </c>
      <c r="D113" s="1">
        <v>23.559251</v>
      </c>
    </row>
    <row r="114" spans="1:4" x14ac:dyDescent="0.3">
      <c r="A114" s="2" t="s">
        <v>3</v>
      </c>
      <c r="B114" s="1" t="s">
        <v>16</v>
      </c>
      <c r="C114" s="1">
        <v>2.215449</v>
      </c>
      <c r="D114" s="1">
        <v>25.242629000000001</v>
      </c>
    </row>
    <row r="115" spans="1:4" x14ac:dyDescent="0.3">
      <c r="A115" s="2" t="s">
        <v>4</v>
      </c>
      <c r="B115" s="1" t="s">
        <v>16</v>
      </c>
      <c r="C115" s="1">
        <v>4.377974</v>
      </c>
      <c r="D115" s="1">
        <v>27.451633999999999</v>
      </c>
    </row>
    <row r="116" spans="1:4" x14ac:dyDescent="0.3">
      <c r="A116" s="7" t="s">
        <v>5</v>
      </c>
      <c r="B116" s="1" t="s">
        <v>16</v>
      </c>
      <c r="C116" s="1">
        <v>-1.3923669999999999</v>
      </c>
      <c r="D116" s="1">
        <v>20.067111000000001</v>
      </c>
    </row>
    <row r="117" spans="1:4" x14ac:dyDescent="0.3">
      <c r="A117" s="7" t="s">
        <v>6</v>
      </c>
      <c r="B117" s="1" t="s">
        <v>16</v>
      </c>
      <c r="C117" s="1">
        <v>-1.191897</v>
      </c>
      <c r="D117" s="1">
        <v>24.384067999999999</v>
      </c>
    </row>
    <row r="118" spans="1:4" x14ac:dyDescent="0.3">
      <c r="A118" s="7" t="s">
        <v>7</v>
      </c>
      <c r="B118" s="1" t="s">
        <v>16</v>
      </c>
      <c r="C118" s="1">
        <v>-7.9070260000000001</v>
      </c>
      <c r="D118" s="1">
        <v>17.081226000000001</v>
      </c>
    </row>
    <row r="119" spans="1:4" x14ac:dyDescent="0.3">
      <c r="A119" s="7" t="s">
        <v>8</v>
      </c>
      <c r="B119" s="1" t="s">
        <v>16</v>
      </c>
      <c r="C119" s="1">
        <v>-7.0191229999999996</v>
      </c>
      <c r="D119" s="1">
        <v>17.385949</v>
      </c>
    </row>
    <row r="120" spans="1:4" x14ac:dyDescent="0.3">
      <c r="A120" s="7" t="s">
        <v>9</v>
      </c>
      <c r="B120" s="1" t="s">
        <v>16</v>
      </c>
      <c r="C120" s="1">
        <v>-0.88721899999999998</v>
      </c>
      <c r="D120" s="1">
        <v>17.149804</v>
      </c>
    </row>
    <row r="121" spans="1:4" x14ac:dyDescent="0.3">
      <c r="A121" s="1"/>
      <c r="B121" s="13" t="s">
        <v>25</v>
      </c>
      <c r="C121" s="2">
        <f>AVERAGE(C111:C120)</f>
        <v>-2.3044584000000001</v>
      </c>
      <c r="D121" s="2">
        <f>AVERAGE(D111:D120)</f>
        <v>20.5998132</v>
      </c>
    </row>
    <row r="123" spans="1:4" x14ac:dyDescent="0.3">
      <c r="B123" s="8"/>
      <c r="C123" s="14" t="s">
        <v>30</v>
      </c>
      <c r="D123" s="14" t="s">
        <v>31</v>
      </c>
    </row>
    <row r="124" spans="1:4" x14ac:dyDescent="0.3">
      <c r="B124" s="14" t="s">
        <v>29</v>
      </c>
      <c r="C124" s="3">
        <f>AVERAGE(C64:C83,C88:C107,C111:C120)</f>
        <v>26.389526180000011</v>
      </c>
      <c r="D124" s="3">
        <f>AVERAGE(D64:D83,D88:D107,D111:D120)</f>
        <v>33.972605399999999</v>
      </c>
    </row>
    <row r="125" spans="1:4" x14ac:dyDescent="0.3">
      <c r="A125" s="12" t="s">
        <v>11</v>
      </c>
      <c r="B125" s="12" t="s">
        <v>13</v>
      </c>
      <c r="C125" s="12" t="s">
        <v>38</v>
      </c>
      <c r="D125" s="12" t="s">
        <v>39</v>
      </c>
    </row>
    <row r="126" spans="1:4" x14ac:dyDescent="0.3">
      <c r="A126" s="2" t="s">
        <v>0</v>
      </c>
      <c r="B126" s="1" t="s">
        <v>10</v>
      </c>
      <c r="C126" s="1">
        <v>7.4962679999999997</v>
      </c>
      <c r="D126" s="1">
        <v>17.357355999999999</v>
      </c>
    </row>
    <row r="127" spans="1:4" x14ac:dyDescent="0.3">
      <c r="A127" s="1"/>
      <c r="B127" s="1" t="s">
        <v>12</v>
      </c>
      <c r="C127" s="1">
        <v>17.184348</v>
      </c>
      <c r="D127" s="1">
        <v>23.297893999999999</v>
      </c>
    </row>
    <row r="128" spans="1:4" x14ac:dyDescent="0.3">
      <c r="A128" s="2" t="s">
        <v>1</v>
      </c>
      <c r="B128" s="1" t="s">
        <v>10</v>
      </c>
      <c r="C128" s="1">
        <v>4.2485090000000003</v>
      </c>
      <c r="D128" s="1">
        <v>13.567836</v>
      </c>
    </row>
    <row r="129" spans="1:4" x14ac:dyDescent="0.3">
      <c r="A129" s="1"/>
      <c r="B129" s="1" t="s">
        <v>12</v>
      </c>
      <c r="C129" s="1">
        <v>13.576423999999999</v>
      </c>
      <c r="D129" s="1">
        <v>19.632932</v>
      </c>
    </row>
    <row r="130" spans="1:4" x14ac:dyDescent="0.3">
      <c r="A130" s="2" t="s">
        <v>2</v>
      </c>
      <c r="B130" s="1" t="s">
        <v>10</v>
      </c>
      <c r="C130" s="1">
        <v>14.099100999999999</v>
      </c>
      <c r="D130" s="1">
        <v>22.035232000000001</v>
      </c>
    </row>
    <row r="131" spans="1:4" x14ac:dyDescent="0.3">
      <c r="A131" s="1"/>
      <c r="B131" s="1" t="s">
        <v>12</v>
      </c>
      <c r="C131" s="1">
        <v>24.019888000000002</v>
      </c>
      <c r="D131" s="1">
        <v>28.142956999999999</v>
      </c>
    </row>
    <row r="132" spans="1:4" x14ac:dyDescent="0.3">
      <c r="A132" s="2" t="s">
        <v>3</v>
      </c>
      <c r="B132" s="1" t="s">
        <v>10</v>
      </c>
      <c r="C132" s="1">
        <v>14.244505999999999</v>
      </c>
      <c r="D132" s="1">
        <v>22.180159</v>
      </c>
    </row>
    <row r="133" spans="1:4" x14ac:dyDescent="0.3">
      <c r="A133" s="1"/>
      <c r="B133" s="1" t="s">
        <v>12</v>
      </c>
      <c r="C133" s="1">
        <v>22.372733</v>
      </c>
      <c r="D133" s="1">
        <v>27.042342999999999</v>
      </c>
    </row>
    <row r="134" spans="1:4" x14ac:dyDescent="0.3">
      <c r="A134" s="2" t="s">
        <v>4</v>
      </c>
      <c r="B134" s="1" t="s">
        <v>10</v>
      </c>
      <c r="C134" s="1">
        <v>17.443175</v>
      </c>
      <c r="D134" s="1">
        <v>24.382916999999999</v>
      </c>
    </row>
    <row r="135" spans="1:4" x14ac:dyDescent="0.3">
      <c r="A135" s="1"/>
      <c r="B135" s="1" t="s">
        <v>12</v>
      </c>
      <c r="C135" s="1">
        <v>25.510107000000001</v>
      </c>
      <c r="D135" s="1">
        <v>29.104462999999999</v>
      </c>
    </row>
    <row r="136" spans="1:4" x14ac:dyDescent="0.3">
      <c r="A136" s="7" t="s">
        <v>5</v>
      </c>
      <c r="B136" s="1" t="s">
        <v>10</v>
      </c>
      <c r="C136" s="1">
        <v>9.4245540000000005</v>
      </c>
      <c r="D136" s="1">
        <v>18.516535000000001</v>
      </c>
    </row>
    <row r="137" spans="1:4" x14ac:dyDescent="0.3">
      <c r="A137" s="1"/>
      <c r="B137" s="1" t="s">
        <v>12</v>
      </c>
      <c r="C137" s="1">
        <v>18.182994000000001</v>
      </c>
      <c r="D137" s="1">
        <v>23.919280000000001</v>
      </c>
    </row>
    <row r="138" spans="1:4" x14ac:dyDescent="0.3">
      <c r="A138" s="7" t="s">
        <v>6</v>
      </c>
      <c r="B138" s="1" t="s">
        <v>10</v>
      </c>
      <c r="C138" s="1">
        <v>14.772221</v>
      </c>
      <c r="D138" s="1">
        <v>23.118497000000001</v>
      </c>
    </row>
    <row r="139" spans="1:4" x14ac:dyDescent="0.3">
      <c r="A139" s="1"/>
      <c r="B139" s="1" t="s">
        <v>12</v>
      </c>
      <c r="C139" s="1">
        <v>23.139150000000001</v>
      </c>
      <c r="D139" s="1">
        <v>27.751401999999999</v>
      </c>
    </row>
    <row r="140" spans="1:4" x14ac:dyDescent="0.3">
      <c r="A140" s="7" t="s">
        <v>7</v>
      </c>
      <c r="B140" s="1" t="s">
        <v>10</v>
      </c>
      <c r="C140" s="1">
        <v>3.9013749999999998</v>
      </c>
      <c r="D140" s="1">
        <v>14.976812000000001</v>
      </c>
    </row>
    <row r="141" spans="1:4" x14ac:dyDescent="0.3">
      <c r="A141" s="1"/>
      <c r="B141" s="1" t="s">
        <v>12</v>
      </c>
      <c r="C141" s="1">
        <v>14.316499</v>
      </c>
      <c r="D141" s="1">
        <v>21.469042999999999</v>
      </c>
    </row>
    <row r="142" spans="1:4" x14ac:dyDescent="0.3">
      <c r="A142" s="7" t="s">
        <v>8</v>
      </c>
      <c r="B142" s="1" t="s">
        <v>10</v>
      </c>
      <c r="C142" s="1">
        <v>8.1857159999999993</v>
      </c>
      <c r="D142" s="1">
        <v>18.103964000000001</v>
      </c>
    </row>
    <row r="143" spans="1:4" x14ac:dyDescent="0.3">
      <c r="A143" s="1"/>
      <c r="B143" s="1" t="s">
        <v>12</v>
      </c>
      <c r="C143" s="1">
        <v>17.399951000000001</v>
      </c>
      <c r="D143" s="1">
        <v>23.774114000000001</v>
      </c>
    </row>
    <row r="144" spans="1:4" x14ac:dyDescent="0.3">
      <c r="A144" s="7" t="s">
        <v>9</v>
      </c>
      <c r="B144" s="1" t="s">
        <v>10</v>
      </c>
      <c r="C144" s="1">
        <v>7.8069119999999996</v>
      </c>
      <c r="D144" s="1">
        <v>16.955597999999998</v>
      </c>
    </row>
    <row r="145" spans="1:4" x14ac:dyDescent="0.3">
      <c r="A145" s="1"/>
      <c r="B145" s="1" t="s">
        <v>12</v>
      </c>
      <c r="C145" s="1">
        <v>16.105087000000001</v>
      </c>
      <c r="D145" s="1">
        <v>22.452656000000001</v>
      </c>
    </row>
    <row r="146" spans="1:4" x14ac:dyDescent="0.3">
      <c r="A146" s="1"/>
      <c r="B146" s="13" t="s">
        <v>26</v>
      </c>
      <c r="C146" s="2">
        <f>AVERAGE(C126:C145)</f>
        <v>14.671475900000001</v>
      </c>
      <c r="D146" s="2">
        <f>AVERAGE(D126:D145)</f>
        <v>21.889099499999997</v>
      </c>
    </row>
    <row r="147" spans="1:4" x14ac:dyDescent="0.3">
      <c r="A147" s="1"/>
      <c r="B147" s="13" t="s">
        <v>27</v>
      </c>
      <c r="C147" s="2">
        <f>AVERAGE(C126,C128,C130,C132,C134,C136,C138,C140,C142,C144)</f>
        <v>10.1622337</v>
      </c>
      <c r="D147" s="2">
        <f>AVERAGE(D126,D128,D130,D132,D134,D136,D138,D140,D142,D144)</f>
        <v>19.119490599999999</v>
      </c>
    </row>
    <row r="148" spans="1:4" x14ac:dyDescent="0.3">
      <c r="A148" s="1"/>
      <c r="B148" s="13" t="s">
        <v>28</v>
      </c>
      <c r="C148" s="2">
        <f>AVERAGE(C127,C129,C131,C133,C135,C137,C139,C141,C143,C145)</f>
        <v>19.1807181</v>
      </c>
      <c r="D148" s="2">
        <f>AVERAGE(D127,D129,D131,D133,D135,D137,D139,D141,D143,D145)</f>
        <v>24.658708399999995</v>
      </c>
    </row>
    <row r="149" spans="1:4" x14ac:dyDescent="0.3">
      <c r="A149" s="1"/>
      <c r="B149" s="1"/>
      <c r="C149" s="1"/>
      <c r="D149" s="4"/>
    </row>
    <row r="150" spans="1:4" x14ac:dyDescent="0.3">
      <c r="A150" s="2" t="s">
        <v>0</v>
      </c>
      <c r="B150" s="1" t="s">
        <v>14</v>
      </c>
      <c r="C150" s="1">
        <v>28.688371</v>
      </c>
      <c r="D150" s="1">
        <v>29.595790000000001</v>
      </c>
    </row>
    <row r="151" spans="1:4" x14ac:dyDescent="0.3">
      <c r="A151" s="1"/>
      <c r="B151" s="1" t="s">
        <v>15</v>
      </c>
      <c r="C151" s="1">
        <v>30.989141</v>
      </c>
      <c r="D151" s="1">
        <v>31.522532000000002</v>
      </c>
    </row>
    <row r="152" spans="1:4" x14ac:dyDescent="0.3">
      <c r="A152" s="2" t="s">
        <v>1</v>
      </c>
      <c r="B152" s="1" t="s">
        <v>14</v>
      </c>
      <c r="C152" s="1">
        <v>24.654785</v>
      </c>
      <c r="D152" s="1">
        <v>25.531765</v>
      </c>
    </row>
    <row r="153" spans="1:4" x14ac:dyDescent="0.3">
      <c r="A153" s="1"/>
      <c r="B153" s="1" t="s">
        <v>15</v>
      </c>
      <c r="C153" s="1">
        <v>27.313769000000001</v>
      </c>
      <c r="D153" s="1">
        <v>27.750101999999998</v>
      </c>
    </row>
    <row r="154" spans="1:4" x14ac:dyDescent="0.3">
      <c r="A154" s="2" t="s">
        <v>2</v>
      </c>
      <c r="B154" s="1" t="s">
        <v>14</v>
      </c>
      <c r="C154" s="1">
        <v>32.505673000000002</v>
      </c>
      <c r="D154" s="1">
        <v>33.127794999999999</v>
      </c>
    </row>
    <row r="155" spans="1:4" x14ac:dyDescent="0.3">
      <c r="A155" s="1"/>
      <c r="B155" s="1" t="s">
        <v>15</v>
      </c>
      <c r="C155" s="1">
        <v>34.114539000000001</v>
      </c>
      <c r="D155" s="1">
        <v>34.411546999999999</v>
      </c>
    </row>
    <row r="156" spans="1:4" x14ac:dyDescent="0.3">
      <c r="A156" s="2" t="s">
        <v>3</v>
      </c>
      <c r="B156" s="1" t="s">
        <v>14</v>
      </c>
      <c r="C156" s="1">
        <v>30.85369</v>
      </c>
      <c r="D156" s="1">
        <v>31.571836999999999</v>
      </c>
    </row>
    <row r="157" spans="1:4" x14ac:dyDescent="0.3">
      <c r="A157" s="1"/>
      <c r="B157" s="1" t="s">
        <v>15</v>
      </c>
      <c r="C157" s="1">
        <v>32.628979000000001</v>
      </c>
      <c r="D157" s="1">
        <v>33.014786000000001</v>
      </c>
    </row>
    <row r="158" spans="1:4" x14ac:dyDescent="0.3">
      <c r="A158" s="2" t="s">
        <v>4</v>
      </c>
      <c r="B158" s="1" t="s">
        <v>14</v>
      </c>
      <c r="C158" s="1">
        <v>32.527244000000003</v>
      </c>
      <c r="D158" s="1">
        <v>33.045105</v>
      </c>
    </row>
    <row r="159" spans="1:4" x14ac:dyDescent="0.3">
      <c r="A159" s="1"/>
      <c r="B159" s="1" t="s">
        <v>15</v>
      </c>
      <c r="C159" s="1">
        <v>33.899396000000003</v>
      </c>
      <c r="D159" s="1">
        <v>34.162816999999997</v>
      </c>
    </row>
    <row r="160" spans="1:4" x14ac:dyDescent="0.3">
      <c r="A160" s="7" t="s">
        <v>5</v>
      </c>
      <c r="B160" s="1" t="s">
        <v>14</v>
      </c>
      <c r="C160" s="1">
        <v>28.984494000000002</v>
      </c>
      <c r="D160" s="1">
        <v>29.878066</v>
      </c>
    </row>
    <row r="161" spans="1:4" x14ac:dyDescent="0.3">
      <c r="A161" s="1"/>
      <c r="B161" s="1" t="s">
        <v>15</v>
      </c>
      <c r="C161" s="1">
        <v>31.085284999999999</v>
      </c>
      <c r="D161" s="1">
        <v>31.604735999999999</v>
      </c>
    </row>
    <row r="162" spans="1:4" x14ac:dyDescent="0.3">
      <c r="A162" s="7" t="s">
        <v>6</v>
      </c>
      <c r="B162" s="1" t="s">
        <v>14</v>
      </c>
      <c r="C162" s="1">
        <v>31.214941</v>
      </c>
      <c r="D162" s="1">
        <v>32.045242000000002</v>
      </c>
    </row>
    <row r="163" spans="1:4" x14ac:dyDescent="0.3">
      <c r="A163" s="1"/>
      <c r="B163" s="1" t="s">
        <v>15</v>
      </c>
      <c r="C163" s="1">
        <v>32.865496999999998</v>
      </c>
      <c r="D163" s="1">
        <v>33.346769999999999</v>
      </c>
    </row>
    <row r="164" spans="1:4" x14ac:dyDescent="0.3">
      <c r="A164" s="7" t="s">
        <v>7</v>
      </c>
      <c r="B164" s="1" t="s">
        <v>14</v>
      </c>
      <c r="C164" s="1">
        <v>27.838062999999998</v>
      </c>
      <c r="D164" s="1">
        <v>28.935516</v>
      </c>
    </row>
    <row r="165" spans="1:4" x14ac:dyDescent="0.3">
      <c r="A165" s="1"/>
      <c r="B165" s="1" t="s">
        <v>15</v>
      </c>
      <c r="C165" s="1">
        <v>30.573792999999998</v>
      </c>
      <c r="D165" s="1">
        <v>31.175025999999999</v>
      </c>
    </row>
    <row r="166" spans="1:4" x14ac:dyDescent="0.3">
      <c r="A166" s="7" t="s">
        <v>8</v>
      </c>
      <c r="B166" s="1" t="s">
        <v>14</v>
      </c>
      <c r="C166" s="1">
        <v>28.203780999999999</v>
      </c>
      <c r="D166" s="1">
        <v>29.157890999999999</v>
      </c>
    </row>
    <row r="167" spans="1:4" x14ac:dyDescent="0.3">
      <c r="A167" s="1"/>
      <c r="B167" s="1" t="s">
        <v>15</v>
      </c>
      <c r="C167" s="1">
        <v>30.367775000000002</v>
      </c>
      <c r="D167" s="1">
        <v>30.916623000000001</v>
      </c>
    </row>
    <row r="168" spans="1:4" x14ac:dyDescent="0.3">
      <c r="A168" s="7" t="s">
        <v>9</v>
      </c>
      <c r="B168" s="1" t="s">
        <v>14</v>
      </c>
      <c r="C168" s="1">
        <v>26.735693999999999</v>
      </c>
      <c r="D168" s="1">
        <v>27.750464000000001</v>
      </c>
    </row>
    <row r="169" spans="1:4" x14ac:dyDescent="0.3">
      <c r="A169" s="1"/>
      <c r="B169" s="1" t="s">
        <v>15</v>
      </c>
      <c r="C169" s="1">
        <v>28.951650999999998</v>
      </c>
      <c r="D169" s="1">
        <v>29.527795999999999</v>
      </c>
    </row>
    <row r="170" spans="1:4" x14ac:dyDescent="0.3">
      <c r="A170" s="1"/>
      <c r="B170" s="13" t="s">
        <v>26</v>
      </c>
      <c r="C170" s="2">
        <f>AVERAGE(C150:C169)</f>
        <v>30.249828050000001</v>
      </c>
      <c r="D170" s="2">
        <f>AVERAGE(D150:D169)</f>
        <v>30.90361029999999</v>
      </c>
    </row>
    <row r="171" spans="1:4" x14ac:dyDescent="0.3">
      <c r="A171" s="1"/>
      <c r="B171" s="13" t="s">
        <v>27</v>
      </c>
      <c r="C171" s="2">
        <f>AVERAGE(C150,C152,C154,C156,C158,C160,C162,C164,C166,C168)</f>
        <v>29.220673600000005</v>
      </c>
      <c r="D171" s="2">
        <f>AVERAGE(D150,D152,D154,D156,D158,D160,D162,D164,D166,D168)</f>
        <v>30.0639471</v>
      </c>
    </row>
    <row r="172" spans="1:4" x14ac:dyDescent="0.3">
      <c r="A172" s="1"/>
      <c r="B172" s="13" t="s">
        <v>28</v>
      </c>
      <c r="C172" s="2">
        <f>AVERAGE(C151,C153,C155,C157,C159,C161,C163,C165,C167,C169)</f>
        <v>31.278982500000005</v>
      </c>
      <c r="D172" s="2">
        <f>AVERAGE(D151,D153,D155,D157,D159,D161,D163,D165,D167,D169)</f>
        <v>31.743273500000004</v>
      </c>
    </row>
    <row r="173" spans="1:4" x14ac:dyDescent="0.3">
      <c r="A173" s="2" t="s">
        <v>0</v>
      </c>
      <c r="B173" s="1" t="s">
        <v>16</v>
      </c>
      <c r="C173" s="1">
        <v>-12.516501999999999</v>
      </c>
      <c r="D173" s="1">
        <v>12.008696</v>
      </c>
    </row>
    <row r="174" spans="1:4" x14ac:dyDescent="0.3">
      <c r="A174" s="2" t="s">
        <v>1</v>
      </c>
      <c r="B174" s="1" t="s">
        <v>16</v>
      </c>
      <c r="C174" s="1">
        <v>-14.623144999999999</v>
      </c>
      <c r="D174" s="1">
        <v>7.6908380000000003</v>
      </c>
    </row>
    <row r="175" spans="1:4" x14ac:dyDescent="0.3">
      <c r="A175" s="2" t="s">
        <v>2</v>
      </c>
      <c r="B175" s="1" t="s">
        <v>16</v>
      </c>
      <c r="C175" s="1">
        <v>-5.7588160000000004</v>
      </c>
      <c r="D175" s="1">
        <v>16.157948000000001</v>
      </c>
    </row>
    <row r="176" spans="1:4" x14ac:dyDescent="0.3">
      <c r="A176" s="2" t="s">
        <v>3</v>
      </c>
      <c r="B176" s="1" t="s">
        <v>16</v>
      </c>
      <c r="C176" s="1">
        <v>-5.9948709999999998</v>
      </c>
      <c r="D176" s="1">
        <v>16.993857999999999</v>
      </c>
    </row>
    <row r="177" spans="1:4" x14ac:dyDescent="0.3">
      <c r="A177" s="2" t="s">
        <v>4</v>
      </c>
      <c r="B177" s="1" t="s">
        <v>16</v>
      </c>
      <c r="C177" s="1">
        <v>-3.3327939999999998</v>
      </c>
      <c r="D177" s="1">
        <v>19.271787</v>
      </c>
    </row>
    <row r="178" spans="1:4" x14ac:dyDescent="0.3">
      <c r="A178" s="7" t="s">
        <v>5</v>
      </c>
      <c r="B178" s="1" t="s">
        <v>16</v>
      </c>
      <c r="C178" s="1">
        <v>-7.9521559999999996</v>
      </c>
      <c r="D178" s="1">
        <v>13.487356999999999</v>
      </c>
    </row>
    <row r="179" spans="1:4" x14ac:dyDescent="0.3">
      <c r="A179" s="7" t="s">
        <v>6</v>
      </c>
      <c r="B179" s="1" t="s">
        <v>16</v>
      </c>
      <c r="C179" s="1">
        <v>-9.6796980000000001</v>
      </c>
      <c r="D179" s="1">
        <v>15.87885</v>
      </c>
    </row>
    <row r="180" spans="1:4" x14ac:dyDescent="0.3">
      <c r="A180" s="7" t="s">
        <v>7</v>
      </c>
      <c r="B180" s="1" t="s">
        <v>16</v>
      </c>
      <c r="C180" s="1">
        <v>-14.527914000000001</v>
      </c>
      <c r="D180" s="1">
        <v>10.736186</v>
      </c>
    </row>
    <row r="181" spans="1:4" x14ac:dyDescent="0.3">
      <c r="A181" s="7" t="s">
        <v>8</v>
      </c>
      <c r="B181" s="1" t="s">
        <v>16</v>
      </c>
      <c r="C181" s="1">
        <v>-14.233323</v>
      </c>
      <c r="D181" s="1">
        <v>10.467969999999999</v>
      </c>
    </row>
    <row r="182" spans="1:4" x14ac:dyDescent="0.3">
      <c r="A182" s="7" t="s">
        <v>9</v>
      </c>
      <c r="B182" s="1" t="s">
        <v>16</v>
      </c>
      <c r="C182" s="1">
        <v>-9.0476480000000006</v>
      </c>
      <c r="D182" s="1">
        <v>10.107552999999999</v>
      </c>
    </row>
    <row r="183" spans="1:4" x14ac:dyDescent="0.3">
      <c r="A183" s="1"/>
      <c r="B183" s="13" t="s">
        <v>25</v>
      </c>
      <c r="C183" s="2">
        <f>AVERAGE(C173:C182)</f>
        <v>-9.7666866999999993</v>
      </c>
      <c r="D183" s="2">
        <v>10.1</v>
      </c>
    </row>
    <row r="185" spans="1:4" x14ac:dyDescent="0.3">
      <c r="B185" s="8"/>
      <c r="C185" s="14" t="s">
        <v>30</v>
      </c>
      <c r="D185" s="14" t="s">
        <v>31</v>
      </c>
    </row>
    <row r="186" spans="1:4" x14ac:dyDescent="0.3">
      <c r="B186" s="14" t="s">
        <v>29</v>
      </c>
      <c r="C186" s="3">
        <f>AVERAGE(C126:C145,C150:C169,C173:C182)</f>
        <v>16.01518424</v>
      </c>
      <c r="D186" s="3">
        <f>AVERAGE(D126:D145,D150:D169,D173:D182)</f>
        <v>23.773104780000004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SN for 8-bit DMs</vt:lpstr>
      <vt:lpstr>MN for 8-bit DMs</vt:lpstr>
      <vt:lpstr>GT_results_v1</vt:lpstr>
      <vt:lpstr>JPEG LS</vt:lpstr>
      <vt:lpstr>JPEG-LS 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Ghanim</dc:creator>
  <cp:lastModifiedBy>Mustafa</cp:lastModifiedBy>
  <dcterms:created xsi:type="dcterms:W3CDTF">2015-06-05T18:17:20Z</dcterms:created>
  <dcterms:modified xsi:type="dcterms:W3CDTF">2021-10-11T16:34:13Z</dcterms:modified>
</cp:coreProperties>
</file>